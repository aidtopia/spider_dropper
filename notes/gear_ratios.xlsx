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projects\spider_dropper\notes\"/>
    </mc:Choice>
  </mc:AlternateContent>
  <xr:revisionPtr revIDLastSave="0" documentId="13_ncr:1_{0D9C677B-5A43-418F-A8F0-B9A50B7360A1}" xr6:coauthVersionLast="47" xr6:coauthVersionMax="47" xr10:uidLastSave="{00000000-0000-0000-0000-000000000000}"/>
  <bookViews>
    <workbookView xWindow="-103" yWindow="-103" windowWidth="33120" windowHeight="18120" xr2:uid="{E034330B-BFBD-48DE-B9DD-948610082F57}"/>
  </bookViews>
  <sheets>
    <sheet name="Ratio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" l="1"/>
  <c r="H57" i="1" s="1"/>
  <c r="I57" i="1" s="1"/>
  <c r="E57" i="1"/>
  <c r="J57" i="1" s="1"/>
  <c r="D57" i="1"/>
  <c r="K57" i="1" s="1"/>
  <c r="B57" i="1"/>
  <c r="G56" i="1"/>
  <c r="H56" i="1" s="1"/>
  <c r="I56" i="1" s="1"/>
  <c r="E56" i="1"/>
  <c r="J56" i="1" s="1"/>
  <c r="D56" i="1"/>
  <c r="K56" i="1" s="1"/>
  <c r="B56" i="1"/>
  <c r="G55" i="1"/>
  <c r="H55" i="1" s="1"/>
  <c r="I55" i="1" s="1"/>
  <c r="E55" i="1"/>
  <c r="J55" i="1" s="1"/>
  <c r="D55" i="1"/>
  <c r="K55" i="1" s="1"/>
  <c r="B55" i="1"/>
  <c r="G54" i="1"/>
  <c r="H54" i="1" s="1"/>
  <c r="I54" i="1" s="1"/>
  <c r="E54" i="1"/>
  <c r="F54" i="1" s="1"/>
  <c r="D54" i="1"/>
  <c r="K54" i="1" s="1"/>
  <c r="B54" i="1"/>
  <c r="G53" i="1"/>
  <c r="H53" i="1" s="1"/>
  <c r="E53" i="1"/>
  <c r="F53" i="1" s="1"/>
  <c r="D53" i="1"/>
  <c r="K53" i="1" s="1"/>
  <c r="B53" i="1"/>
  <c r="G52" i="1"/>
  <c r="E52" i="1"/>
  <c r="F52" i="1" s="1"/>
  <c r="D52" i="1"/>
  <c r="B52" i="1"/>
  <c r="N10" i="1"/>
  <c r="N50" i="1"/>
  <c r="N43" i="1"/>
  <c r="N39" i="1"/>
  <c r="N38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G20" i="1"/>
  <c r="H20" i="1" s="1"/>
  <c r="I20" i="1" s="1"/>
  <c r="E20" i="1"/>
  <c r="D20" i="1"/>
  <c r="K20" i="1" s="1"/>
  <c r="B20" i="1"/>
  <c r="G19" i="1"/>
  <c r="H19" i="1" s="1"/>
  <c r="E19" i="1"/>
  <c r="F19" i="1" s="1"/>
  <c r="D19" i="1"/>
  <c r="K19" i="1" s="1"/>
  <c r="B19" i="1"/>
  <c r="G18" i="1"/>
  <c r="H18" i="1" s="1"/>
  <c r="I18" i="1" s="1"/>
  <c r="E18" i="1"/>
  <c r="J18" i="1" s="1"/>
  <c r="D18" i="1"/>
  <c r="K18" i="1" s="1"/>
  <c r="B18" i="1"/>
  <c r="L18" i="1" s="1"/>
  <c r="M18" i="1" s="1"/>
  <c r="H17" i="1"/>
  <c r="I17" i="1" s="1"/>
  <c r="G17" i="1"/>
  <c r="E17" i="1"/>
  <c r="J17" i="1" s="1"/>
  <c r="D17" i="1"/>
  <c r="K17" i="1" s="1"/>
  <c r="L17" i="1" s="1"/>
  <c r="M17" i="1" s="1"/>
  <c r="B17" i="1"/>
  <c r="H16" i="1"/>
  <c r="I16" i="1" s="1"/>
  <c r="E16" i="1"/>
  <c r="F16" i="1" s="1"/>
  <c r="D16" i="1"/>
  <c r="B16" i="1"/>
  <c r="K15" i="1"/>
  <c r="L15" i="1" s="1"/>
  <c r="M15" i="1" s="1"/>
  <c r="E15" i="1"/>
  <c r="F15" i="1" s="1"/>
  <c r="D15" i="1"/>
  <c r="B15" i="1"/>
  <c r="H14" i="1"/>
  <c r="I14" i="1" s="1"/>
  <c r="E14" i="1"/>
  <c r="F14" i="1" s="1"/>
  <c r="D14" i="1"/>
  <c r="K14" i="1" s="1"/>
  <c r="B14" i="1"/>
  <c r="H13" i="1"/>
  <c r="I13" i="1" s="1"/>
  <c r="F13" i="1"/>
  <c r="E13" i="1"/>
  <c r="D13" i="1"/>
  <c r="K13" i="1" s="1"/>
  <c r="B13" i="1"/>
  <c r="K12" i="1"/>
  <c r="L12" i="1" s="1"/>
  <c r="M12" i="1" s="1"/>
  <c r="H12" i="1"/>
  <c r="I12" i="1" s="1"/>
  <c r="E12" i="1"/>
  <c r="D12" i="1"/>
  <c r="B12" i="1"/>
  <c r="H11" i="1"/>
  <c r="I11" i="1" s="1"/>
  <c r="E11" i="1"/>
  <c r="F11" i="1" s="1"/>
  <c r="D11" i="1"/>
  <c r="B11" i="1"/>
  <c r="H10" i="1"/>
  <c r="E10" i="1"/>
  <c r="F10" i="1" s="1"/>
  <c r="D10" i="1"/>
  <c r="K10" i="1" s="1"/>
  <c r="B10" i="1"/>
  <c r="G32" i="1"/>
  <c r="H32" i="1" s="1"/>
  <c r="I32" i="1" s="1"/>
  <c r="E32" i="1"/>
  <c r="J32" i="1" s="1"/>
  <c r="D32" i="1"/>
  <c r="B32" i="1"/>
  <c r="G31" i="1"/>
  <c r="H31" i="1" s="1"/>
  <c r="I31" i="1" s="1"/>
  <c r="E31" i="1"/>
  <c r="D31" i="1"/>
  <c r="K31" i="1" s="1"/>
  <c r="B31" i="1"/>
  <c r="G30" i="1"/>
  <c r="H30" i="1" s="1"/>
  <c r="I30" i="1" s="1"/>
  <c r="E30" i="1"/>
  <c r="D30" i="1"/>
  <c r="B30" i="1"/>
  <c r="G29" i="1"/>
  <c r="H29" i="1" s="1"/>
  <c r="I29" i="1" s="1"/>
  <c r="E29" i="1"/>
  <c r="D29" i="1"/>
  <c r="B29" i="1"/>
  <c r="G28" i="1"/>
  <c r="H28" i="1" s="1"/>
  <c r="E28" i="1"/>
  <c r="F28" i="1" s="1"/>
  <c r="D28" i="1"/>
  <c r="K28" i="1" s="1"/>
  <c r="B28" i="1"/>
  <c r="G27" i="1"/>
  <c r="H27" i="1" s="1"/>
  <c r="I27" i="1" s="1"/>
  <c r="E27" i="1"/>
  <c r="F27" i="1" s="1"/>
  <c r="D27" i="1"/>
  <c r="K27" i="1" s="1"/>
  <c r="B27" i="1"/>
  <c r="G26" i="1"/>
  <c r="H26" i="1" s="1"/>
  <c r="I26" i="1" s="1"/>
  <c r="E26" i="1"/>
  <c r="F26" i="1" s="1"/>
  <c r="D26" i="1"/>
  <c r="B26" i="1"/>
  <c r="G25" i="1"/>
  <c r="H25" i="1" s="1"/>
  <c r="I25" i="1" s="1"/>
  <c r="E25" i="1"/>
  <c r="D25" i="1"/>
  <c r="B25" i="1"/>
  <c r="G24" i="1"/>
  <c r="E24" i="1"/>
  <c r="F24" i="1" s="1"/>
  <c r="D24" i="1"/>
  <c r="B24" i="1"/>
  <c r="G23" i="1"/>
  <c r="E23" i="1"/>
  <c r="F23" i="1" s="1"/>
  <c r="D23" i="1"/>
  <c r="B23" i="1"/>
  <c r="G22" i="1"/>
  <c r="H22" i="1" s="1"/>
  <c r="I22" i="1" s="1"/>
  <c r="E22" i="1"/>
  <c r="F22" i="1" s="1"/>
  <c r="D22" i="1"/>
  <c r="K22" i="1" s="1"/>
  <c r="B22" i="1"/>
  <c r="G21" i="1"/>
  <c r="E21" i="1"/>
  <c r="D21" i="1"/>
  <c r="B21" i="1"/>
  <c r="G51" i="1"/>
  <c r="H51" i="1" s="1"/>
  <c r="I51" i="1" s="1"/>
  <c r="E51" i="1"/>
  <c r="D51" i="1"/>
  <c r="B51" i="1"/>
  <c r="G50" i="1"/>
  <c r="H50" i="1" s="1"/>
  <c r="I50" i="1" s="1"/>
  <c r="E50" i="1"/>
  <c r="D50" i="1"/>
  <c r="B50" i="1"/>
  <c r="G49" i="1"/>
  <c r="H49" i="1" s="1"/>
  <c r="I49" i="1" s="1"/>
  <c r="E49" i="1"/>
  <c r="D49" i="1"/>
  <c r="K49" i="1" s="1"/>
  <c r="B49" i="1"/>
  <c r="G48" i="1"/>
  <c r="H48" i="1" s="1"/>
  <c r="I48" i="1" s="1"/>
  <c r="E48" i="1"/>
  <c r="D48" i="1"/>
  <c r="B48" i="1"/>
  <c r="G47" i="1"/>
  <c r="H47" i="1" s="1"/>
  <c r="I47" i="1" s="1"/>
  <c r="E47" i="1"/>
  <c r="F47" i="1" s="1"/>
  <c r="D47" i="1"/>
  <c r="K47" i="1" s="1"/>
  <c r="B47" i="1"/>
  <c r="G46" i="1"/>
  <c r="H46" i="1" s="1"/>
  <c r="I46" i="1" s="1"/>
  <c r="E46" i="1"/>
  <c r="F46" i="1" s="1"/>
  <c r="D46" i="1"/>
  <c r="B46" i="1"/>
  <c r="G45" i="1"/>
  <c r="H45" i="1" s="1"/>
  <c r="I45" i="1" s="1"/>
  <c r="E45" i="1"/>
  <c r="F45" i="1" s="1"/>
  <c r="D45" i="1"/>
  <c r="B45" i="1"/>
  <c r="G44" i="1"/>
  <c r="H44" i="1" s="1"/>
  <c r="I44" i="1" s="1"/>
  <c r="E44" i="1"/>
  <c r="F44" i="1" s="1"/>
  <c r="D44" i="1"/>
  <c r="B44" i="1"/>
  <c r="G43" i="1"/>
  <c r="H43" i="1" s="1"/>
  <c r="I43" i="1" s="1"/>
  <c r="E43" i="1"/>
  <c r="D43" i="1"/>
  <c r="K43" i="1" s="1"/>
  <c r="B43" i="1"/>
  <c r="G42" i="1"/>
  <c r="H42" i="1" s="1"/>
  <c r="I42" i="1" s="1"/>
  <c r="E42" i="1"/>
  <c r="D42" i="1"/>
  <c r="B42" i="1"/>
  <c r="G41" i="1"/>
  <c r="H41" i="1" s="1"/>
  <c r="I41" i="1" s="1"/>
  <c r="E41" i="1"/>
  <c r="F41" i="1" s="1"/>
  <c r="D41" i="1"/>
  <c r="K41" i="1" s="1"/>
  <c r="B41" i="1"/>
  <c r="G40" i="1"/>
  <c r="H40" i="1" s="1"/>
  <c r="I40" i="1" s="1"/>
  <c r="E40" i="1"/>
  <c r="D40" i="1"/>
  <c r="B40" i="1"/>
  <c r="G39" i="1"/>
  <c r="H39" i="1" s="1"/>
  <c r="I39" i="1" s="1"/>
  <c r="E39" i="1"/>
  <c r="F39" i="1" s="1"/>
  <c r="D39" i="1"/>
  <c r="B39" i="1"/>
  <c r="G38" i="1"/>
  <c r="H38" i="1" s="1"/>
  <c r="I38" i="1" s="1"/>
  <c r="E38" i="1"/>
  <c r="F38" i="1" s="1"/>
  <c r="D38" i="1"/>
  <c r="B38" i="1"/>
  <c r="G37" i="1"/>
  <c r="H37" i="1" s="1"/>
  <c r="I37" i="1" s="1"/>
  <c r="E37" i="1"/>
  <c r="F37" i="1" s="1"/>
  <c r="D37" i="1"/>
  <c r="K37" i="1" s="1"/>
  <c r="B37" i="1"/>
  <c r="G36" i="1"/>
  <c r="H36" i="1" s="1"/>
  <c r="I36" i="1" s="1"/>
  <c r="E36" i="1"/>
  <c r="F36" i="1" s="1"/>
  <c r="D36" i="1"/>
  <c r="B36" i="1"/>
  <c r="G35" i="1"/>
  <c r="H35" i="1" s="1"/>
  <c r="I35" i="1" s="1"/>
  <c r="E35" i="1"/>
  <c r="J35" i="1" s="1"/>
  <c r="D35" i="1"/>
  <c r="K35" i="1" s="1"/>
  <c r="B35" i="1"/>
  <c r="G34" i="1"/>
  <c r="H34" i="1" s="1"/>
  <c r="I34" i="1" s="1"/>
  <c r="E34" i="1"/>
  <c r="F34" i="1" s="1"/>
  <c r="D34" i="1"/>
  <c r="B34" i="1"/>
  <c r="C3" i="1"/>
  <c r="G33" i="1"/>
  <c r="H33" i="1" s="1"/>
  <c r="I33" i="1" s="1"/>
  <c r="E33" i="1"/>
  <c r="F33" i="1" s="1"/>
  <c r="D33" i="1"/>
  <c r="B33" i="1"/>
  <c r="L57" i="1" l="1"/>
  <c r="M57" i="1" s="1"/>
  <c r="F57" i="1"/>
  <c r="F56" i="1"/>
  <c r="F55" i="1"/>
  <c r="L56" i="1"/>
  <c r="M56" i="1" s="1"/>
  <c r="L55" i="1"/>
  <c r="M55" i="1" s="1"/>
  <c r="N55" i="1" s="1"/>
  <c r="J54" i="1"/>
  <c r="L54" i="1"/>
  <c r="M54" i="1" s="1"/>
  <c r="N54" i="1" s="1"/>
  <c r="L53" i="1"/>
  <c r="M53" i="1" s="1"/>
  <c r="N53" i="1" s="1"/>
  <c r="J53" i="1"/>
  <c r="I53" i="1"/>
  <c r="K52" i="1"/>
  <c r="L52" i="1" s="1"/>
  <c r="M52" i="1" s="1"/>
  <c r="N52" i="1" s="1"/>
  <c r="H52" i="1"/>
  <c r="J12" i="1"/>
  <c r="L13" i="1"/>
  <c r="M13" i="1" s="1"/>
  <c r="J10" i="1"/>
  <c r="I10" i="1"/>
  <c r="J19" i="1"/>
  <c r="I19" i="1"/>
  <c r="F17" i="1"/>
  <c r="J13" i="1"/>
  <c r="L10" i="1"/>
  <c r="M10" i="1" s="1"/>
  <c r="L14" i="1"/>
  <c r="M14" i="1" s="1"/>
  <c r="K36" i="1"/>
  <c r="L36" i="1" s="1"/>
  <c r="M36" i="1" s="1"/>
  <c r="N36" i="1" s="1"/>
  <c r="K42" i="1"/>
  <c r="K48" i="1"/>
  <c r="J14" i="1"/>
  <c r="J42" i="1"/>
  <c r="J48" i="1"/>
  <c r="L19" i="1"/>
  <c r="M19" i="1" s="1"/>
  <c r="K29" i="1"/>
  <c r="K11" i="1"/>
  <c r="L11" i="1" s="1"/>
  <c r="M11" i="1" s="1"/>
  <c r="H15" i="1"/>
  <c r="I15" i="1" s="1"/>
  <c r="F12" i="1"/>
  <c r="K16" i="1"/>
  <c r="L16" i="1" s="1"/>
  <c r="M16" i="1" s="1"/>
  <c r="L20" i="1"/>
  <c r="M20" i="1" s="1"/>
  <c r="K21" i="1"/>
  <c r="L21" i="1" s="1"/>
  <c r="M21" i="1" s="1"/>
  <c r="J40" i="1"/>
  <c r="J20" i="1"/>
  <c r="K45" i="1"/>
  <c r="L45" i="1" s="1"/>
  <c r="M45" i="1" s="1"/>
  <c r="N45" i="1" s="1"/>
  <c r="K51" i="1"/>
  <c r="J16" i="1"/>
  <c r="H21" i="1"/>
  <c r="I21" i="1" s="1"/>
  <c r="K38" i="1"/>
  <c r="L38" i="1" s="1"/>
  <c r="M38" i="1" s="1"/>
  <c r="K44" i="1"/>
  <c r="L44" i="1" s="1"/>
  <c r="M44" i="1" s="1"/>
  <c r="N44" i="1" s="1"/>
  <c r="K50" i="1"/>
  <c r="K30" i="1"/>
  <c r="J50" i="1"/>
  <c r="K25" i="1"/>
  <c r="L25" i="1" s="1"/>
  <c r="M25" i="1" s="1"/>
  <c r="J25" i="1"/>
  <c r="K39" i="1"/>
  <c r="L39" i="1" s="1"/>
  <c r="M39" i="1" s="1"/>
  <c r="J51" i="1"/>
  <c r="K26" i="1"/>
  <c r="L26" i="1" s="1"/>
  <c r="M26" i="1" s="1"/>
  <c r="J31" i="1"/>
  <c r="K32" i="1"/>
  <c r="L32" i="1" s="1"/>
  <c r="M32" i="1" s="1"/>
  <c r="J21" i="1"/>
  <c r="F20" i="1"/>
  <c r="K23" i="1"/>
  <c r="L23" i="1" s="1"/>
  <c r="M23" i="1" s="1"/>
  <c r="J11" i="1"/>
  <c r="F18" i="1"/>
  <c r="J29" i="1"/>
  <c r="J43" i="1"/>
  <c r="J49" i="1"/>
  <c r="F32" i="1"/>
  <c r="F31" i="1"/>
  <c r="L27" i="1"/>
  <c r="M27" i="1" s="1"/>
  <c r="J26" i="1"/>
  <c r="K24" i="1"/>
  <c r="L22" i="1"/>
  <c r="M22" i="1" s="1"/>
  <c r="L24" i="1"/>
  <c r="M24" i="1" s="1"/>
  <c r="L28" i="1"/>
  <c r="M28" i="1" s="1"/>
  <c r="L30" i="1"/>
  <c r="M30" i="1" s="1"/>
  <c r="I28" i="1"/>
  <c r="J28" i="1"/>
  <c r="J30" i="1"/>
  <c r="L31" i="1"/>
  <c r="M31" i="1" s="1"/>
  <c r="J27" i="1"/>
  <c r="L29" i="1"/>
  <c r="M29" i="1" s="1"/>
  <c r="F29" i="1"/>
  <c r="H24" i="1"/>
  <c r="J22" i="1"/>
  <c r="F25" i="1"/>
  <c r="K34" i="1"/>
  <c r="L34" i="1" s="1"/>
  <c r="M34" i="1" s="1"/>
  <c r="K40" i="1"/>
  <c r="L40" i="1" s="1"/>
  <c r="M40" i="1" s="1"/>
  <c r="K46" i="1"/>
  <c r="L46" i="1" s="1"/>
  <c r="M46" i="1" s="1"/>
  <c r="N46" i="1" s="1"/>
  <c r="F21" i="1"/>
  <c r="H23" i="1"/>
  <c r="L41" i="1"/>
  <c r="M41" i="1" s="1"/>
  <c r="N41" i="1" s="1"/>
  <c r="F30" i="1"/>
  <c r="L51" i="1"/>
  <c r="M51" i="1" s="1"/>
  <c r="L50" i="1"/>
  <c r="M50" i="1" s="1"/>
  <c r="L49" i="1"/>
  <c r="M49" i="1" s="1"/>
  <c r="L48" i="1"/>
  <c r="M48" i="1" s="1"/>
  <c r="F51" i="1"/>
  <c r="F50" i="1"/>
  <c r="F49" i="1"/>
  <c r="F48" i="1"/>
  <c r="L47" i="1"/>
  <c r="M47" i="1" s="1"/>
  <c r="N47" i="1" s="1"/>
  <c r="J47" i="1"/>
  <c r="L42" i="1"/>
  <c r="M42" i="1" s="1"/>
  <c r="J46" i="1"/>
  <c r="J45" i="1"/>
  <c r="J44" i="1"/>
  <c r="L43" i="1"/>
  <c r="M43" i="1" s="1"/>
  <c r="F43" i="1"/>
  <c r="F42" i="1"/>
  <c r="N42" i="1" s="1"/>
  <c r="L37" i="1"/>
  <c r="M37" i="1" s="1"/>
  <c r="N37" i="1" s="1"/>
  <c r="J41" i="1"/>
  <c r="F40" i="1"/>
  <c r="N40" i="1" s="1"/>
  <c r="J39" i="1"/>
  <c r="J38" i="1"/>
  <c r="J37" i="1"/>
  <c r="J36" i="1"/>
  <c r="L35" i="1"/>
  <c r="M35" i="1" s="1"/>
  <c r="F35" i="1"/>
  <c r="N35" i="1" s="1"/>
  <c r="J34" i="1"/>
  <c r="K33" i="1"/>
  <c r="L33" i="1" s="1"/>
  <c r="M33" i="1" s="1"/>
  <c r="J33" i="1"/>
  <c r="N51" i="1" l="1"/>
  <c r="N49" i="1"/>
  <c r="N48" i="1"/>
  <c r="N57" i="1"/>
  <c r="N56" i="1"/>
  <c r="I52" i="1"/>
  <c r="J52" i="1"/>
  <c r="J15" i="1"/>
  <c r="I24" i="1"/>
  <c r="J24" i="1"/>
  <c r="J23" i="1"/>
  <c r="I23" i="1"/>
</calcChain>
</file>

<file path=xl/sharedStrings.xml><?xml version="1.0" encoding="utf-8"?>
<sst xmlns="http://schemas.openxmlformats.org/spreadsheetml/2006/main" count="33" uniqueCount="25">
  <si>
    <t>ISO module</t>
  </si>
  <si>
    <t>Drive</t>
  </si>
  <si>
    <t>Winder</t>
  </si>
  <si>
    <t>Model</t>
  </si>
  <si>
    <t>Teeth</t>
  </si>
  <si>
    <t>PD (mm)</t>
  </si>
  <si>
    <t>OD (mm)</t>
  </si>
  <si>
    <t>(in.)</t>
  </si>
  <si>
    <t>(mm)</t>
  </si>
  <si>
    <t>Spool OD</t>
  </si>
  <si>
    <t>Axle-Axle</t>
  </si>
  <si>
    <t>w/o Flange (mm)</t>
  </si>
  <si>
    <t>w/Flange (mm)</t>
  </si>
  <si>
    <t>Target Drop</t>
  </si>
  <si>
    <t>Turns</t>
  </si>
  <si>
    <t>String D</t>
  </si>
  <si>
    <t>mm</t>
  </si>
  <si>
    <t>Tooth Size</t>
  </si>
  <si>
    <t>Tooth Clearance</t>
  </si>
  <si>
    <t>Min Winder ID</t>
  </si>
  <si>
    <t>Shaft Adapter OD</t>
  </si>
  <si>
    <t>Min Drive ID</t>
  </si>
  <si>
    <t>(to contain the index track)</t>
  </si>
  <si>
    <t>Ratio of Diameters</t>
  </si>
  <si>
    <t>(includes max extent of head of set screw)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</si>
</sst>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3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Drive Teeth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Ratios!$C$10:$C$57</c:f>
              <c:numCache>
                <c:formatCode>General</c:formatCode>
                <c:ptCount val="48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76</c:v>
                </c:pt>
                <c:pt idx="44">
                  <c:v>77</c:v>
                </c:pt>
                <c:pt idx="45">
                  <c:v>77</c:v>
                </c:pt>
                <c:pt idx="46">
                  <c:v>78</c:v>
                </c:pt>
                <c:pt idx="47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4-47B5-AF60-68EC9399E8D3}"/>
            </c:ext>
          </c:extLst>
        </c:ser>
        <c:ser>
          <c:idx val="0"/>
          <c:order val="1"/>
          <c:tx>
            <c:v>Winder Teeth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Ratios!$G$10:$G$57</c:f>
              <c:numCache>
                <c:formatCode>General</c:formatCode>
                <c:ptCount val="48"/>
                <c:pt idx="0">
                  <c:v>139</c:v>
                </c:pt>
                <c:pt idx="1">
                  <c:v>70</c:v>
                </c:pt>
                <c:pt idx="2">
                  <c:v>47</c:v>
                </c:pt>
                <c:pt idx="3">
                  <c:v>35</c:v>
                </c:pt>
                <c:pt idx="4">
                  <c:v>28</c:v>
                </c:pt>
                <c:pt idx="5">
                  <c:v>24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E4-47B5-AF60-68EC9399E8D3}"/>
            </c:ext>
          </c:extLst>
        </c:ser>
        <c:ser>
          <c:idx val="2"/>
          <c:order val="2"/>
          <c:tx>
            <c:v>Drive OD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Ratios!$F$10:$F$57</c:f>
              <c:numCache>
                <c:formatCode>General</c:formatCode>
                <c:ptCount val="48"/>
                <c:pt idx="0">
                  <c:v>88.5</c:v>
                </c:pt>
                <c:pt idx="1">
                  <c:v>88.5</c:v>
                </c:pt>
                <c:pt idx="2">
                  <c:v>88.5</c:v>
                </c:pt>
                <c:pt idx="3">
                  <c:v>88.5</c:v>
                </c:pt>
                <c:pt idx="4">
                  <c:v>88.5</c:v>
                </c:pt>
                <c:pt idx="5">
                  <c:v>88.5</c:v>
                </c:pt>
                <c:pt idx="6">
                  <c:v>88.5</c:v>
                </c:pt>
                <c:pt idx="7">
                  <c:v>88.5</c:v>
                </c:pt>
                <c:pt idx="8">
                  <c:v>88.5</c:v>
                </c:pt>
                <c:pt idx="9">
                  <c:v>88.5</c:v>
                </c:pt>
                <c:pt idx="10">
                  <c:v>88.5</c:v>
                </c:pt>
                <c:pt idx="11">
                  <c:v>88.5</c:v>
                </c:pt>
                <c:pt idx="12">
                  <c:v>88.5</c:v>
                </c:pt>
                <c:pt idx="13">
                  <c:v>88.5</c:v>
                </c:pt>
                <c:pt idx="14">
                  <c:v>88.5</c:v>
                </c:pt>
                <c:pt idx="15">
                  <c:v>88.5</c:v>
                </c:pt>
                <c:pt idx="16">
                  <c:v>88.5</c:v>
                </c:pt>
                <c:pt idx="17">
                  <c:v>88.5</c:v>
                </c:pt>
                <c:pt idx="18">
                  <c:v>88.5</c:v>
                </c:pt>
                <c:pt idx="19">
                  <c:v>88.5</c:v>
                </c:pt>
                <c:pt idx="20">
                  <c:v>88.5</c:v>
                </c:pt>
                <c:pt idx="21">
                  <c:v>88.5</c:v>
                </c:pt>
                <c:pt idx="22">
                  <c:v>88.5</c:v>
                </c:pt>
                <c:pt idx="23">
                  <c:v>88.5</c:v>
                </c:pt>
                <c:pt idx="24">
                  <c:v>88.5</c:v>
                </c:pt>
                <c:pt idx="25">
                  <c:v>90</c:v>
                </c:pt>
                <c:pt idx="26">
                  <c:v>91.5</c:v>
                </c:pt>
                <c:pt idx="27">
                  <c:v>93</c:v>
                </c:pt>
                <c:pt idx="28">
                  <c:v>94.5</c:v>
                </c:pt>
                <c:pt idx="29">
                  <c:v>96</c:v>
                </c:pt>
                <c:pt idx="30">
                  <c:v>97.5</c:v>
                </c:pt>
                <c:pt idx="31">
                  <c:v>99</c:v>
                </c:pt>
                <c:pt idx="32">
                  <c:v>100.5</c:v>
                </c:pt>
                <c:pt idx="33">
                  <c:v>102</c:v>
                </c:pt>
                <c:pt idx="34">
                  <c:v>103.5</c:v>
                </c:pt>
                <c:pt idx="35">
                  <c:v>105</c:v>
                </c:pt>
                <c:pt idx="36">
                  <c:v>106.5</c:v>
                </c:pt>
                <c:pt idx="37">
                  <c:v>108</c:v>
                </c:pt>
                <c:pt idx="38">
                  <c:v>109.5</c:v>
                </c:pt>
                <c:pt idx="39">
                  <c:v>111</c:v>
                </c:pt>
                <c:pt idx="40">
                  <c:v>112.5</c:v>
                </c:pt>
                <c:pt idx="41">
                  <c:v>114</c:v>
                </c:pt>
                <c:pt idx="42">
                  <c:v>115.5</c:v>
                </c:pt>
                <c:pt idx="43">
                  <c:v>117</c:v>
                </c:pt>
                <c:pt idx="44">
                  <c:v>118.5</c:v>
                </c:pt>
                <c:pt idx="45">
                  <c:v>118.5</c:v>
                </c:pt>
                <c:pt idx="46">
                  <c:v>120</c:v>
                </c:pt>
                <c:pt idx="47">
                  <c:v>121.5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E4-47B5-AF60-68EC9399E8D3}"/>
            </c:ext>
          </c:extLst>
        </c:ser>
        <c:ser>
          <c:idx val="3"/>
          <c:order val="3"/>
          <c:tx>
            <c:v>Spool OD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Ratios!$M$10:$M$57</c:f>
              <c:numCache>
                <c:formatCode>0.00</c:formatCode>
                <c:ptCount val="48"/>
                <c:pt idx="0">
                  <c:v>26.430975742619378</c:v>
                </c:pt>
                <c:pt idx="1">
                  <c:v>26.606738158033906</c:v>
                </c:pt>
                <c:pt idx="2">
                  <c:v>26.782500573448431</c:v>
                </c:pt>
                <c:pt idx="3">
                  <c:v>28.606738158033906</c:v>
                </c:pt>
                <c:pt idx="4">
                  <c:v>28.606738158033906</c:v>
                </c:pt>
                <c:pt idx="5">
                  <c:v>29.309787819692012</c:v>
                </c:pt>
                <c:pt idx="6">
                  <c:v>30.606738158033906</c:v>
                </c:pt>
                <c:pt idx="7">
                  <c:v>32.715887143008239</c:v>
                </c:pt>
                <c:pt idx="8">
                  <c:v>36.055373035884273</c:v>
                </c:pt>
                <c:pt idx="9">
                  <c:v>39.3948589287603</c:v>
                </c:pt>
                <c:pt idx="10">
                  <c:v>42.734344821636327</c:v>
                </c:pt>
                <c:pt idx="11">
                  <c:v>46.073830714512354</c:v>
                </c:pt>
                <c:pt idx="12">
                  <c:v>49.413316607388396</c:v>
                </c:pt>
                <c:pt idx="13">
                  <c:v>52.752802500264416</c:v>
                </c:pt>
                <c:pt idx="14">
                  <c:v>56.092288393140457</c:v>
                </c:pt>
                <c:pt idx="15">
                  <c:v>59.431774286016477</c:v>
                </c:pt>
                <c:pt idx="16">
                  <c:v>62.771260178892504</c:v>
                </c:pt>
                <c:pt idx="17">
                  <c:v>66.110746071768546</c:v>
                </c:pt>
                <c:pt idx="18">
                  <c:v>69.450231964644559</c:v>
                </c:pt>
                <c:pt idx="19">
                  <c:v>72.7897178575206</c:v>
                </c:pt>
                <c:pt idx="20">
                  <c:v>76.129203750396627</c:v>
                </c:pt>
                <c:pt idx="21">
                  <c:v>79.468689643272654</c:v>
                </c:pt>
                <c:pt idx="22">
                  <c:v>82.808175536148681</c:v>
                </c:pt>
                <c:pt idx="23">
                  <c:v>86.147661429024708</c:v>
                </c:pt>
                <c:pt idx="24">
                  <c:v>89.48714732190075</c:v>
                </c:pt>
                <c:pt idx="25">
                  <c:v>90.979258039994278</c:v>
                </c:pt>
                <c:pt idx="26">
                  <c:v>92.409197478167272</c:v>
                </c:pt>
                <c:pt idx="27">
                  <c:v>95.609538125506802</c:v>
                </c:pt>
                <c:pt idx="28">
                  <c:v>96.915799614216809</c:v>
                </c:pt>
                <c:pt idx="29">
                  <c:v>98.169810643378426</c:v>
                </c:pt>
                <c:pt idx="30">
                  <c:v>99.374644769435676</c:v>
                </c:pt>
                <c:pt idx="31">
                  <c:v>100.53313912141377</c:v>
                </c:pt>
                <c:pt idx="32">
                  <c:v>103.48729971895794</c:v>
                </c:pt>
                <c:pt idx="33">
                  <c:v>104.54633842373795</c:v>
                </c:pt>
                <c:pt idx="34">
                  <c:v>105.56615347278535</c:v>
                </c:pt>
                <c:pt idx="35">
                  <c:v>106.54888433823102</c:v>
                </c:pt>
                <c:pt idx="36">
                  <c:v>107.49651767276791</c:v>
                </c:pt>
                <c:pt idx="37">
                  <c:v>110.23966679905892</c:v>
                </c:pt>
                <c:pt idx="38">
                  <c:v>111.10592441788768</c:v>
                </c:pt>
                <c:pt idx="39">
                  <c:v>113.94231108434302</c:v>
                </c:pt>
                <c:pt idx="40">
                  <c:v>114.75034566041005</c:v>
                </c:pt>
                <c:pt idx="41">
                  <c:v>115.53144575060817</c:v>
                </c:pt>
                <c:pt idx="42">
                  <c:v>118.0917182684798</c:v>
                </c:pt>
                <c:pt idx="43">
                  <c:v>118.80523683903417</c:v>
                </c:pt>
                <c:pt idx="44">
                  <c:v>119.49573868150618</c:v>
                </c:pt>
                <c:pt idx="45">
                  <c:v>121.9734217633174</c:v>
                </c:pt>
                <c:pt idx="46">
                  <c:v>122.6026746094917</c:v>
                </c:pt>
                <c:pt idx="47">
                  <c:v>123.21226330422303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E4-47B5-AF60-68EC9399E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786047"/>
        <c:axId val="1233786527"/>
      </c:lineChart>
      <c:catAx>
        <c:axId val="1233786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86527"/>
        <c:crosses val="autoZero"/>
        <c:auto val="1"/>
        <c:lblAlgn val="ctr"/>
        <c:lblOffset val="100"/>
        <c:noMultiLvlLbl val="0"/>
      </c:catAx>
      <c:valAx>
        <c:axId val="12337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8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0</xdr:row>
      <xdr:rowOff>0</xdr:rowOff>
    </xdr:from>
    <xdr:to>
      <xdr:col>13</xdr:col>
      <xdr:colOff>5443</xdr:colOff>
      <xdr:row>24</xdr:row>
      <xdr:rowOff>5443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D4B7CE-72DE-72F8-46A6-963F257FD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ACE9-797C-4CC1-8EA8-81631CAC12B7}">
  <dimension ref="A1:N57"/>
  <sheetViews>
    <sheetView tabSelected="1" topLeftCell="A13" workbookViewId="0">
      <selection activeCell="C58" sqref="C58"/>
    </sheetView>
  </sheetViews>
  <sheetFormatPr defaultRowHeight="14.6" x14ac:dyDescent="0.4"/>
  <cols>
    <col min="1" max="1" width="10.765625" customWidth="1"/>
    <col min="2" max="2" width="9.3046875" customWidth="1"/>
    <col min="3" max="3" width="8.61328125" customWidth="1"/>
    <col min="4" max="4" width="7.53515625" customWidth="1"/>
    <col min="5" max="6" width="8.921875" customWidth="1"/>
    <col min="7" max="7" width="7.23046875" customWidth="1"/>
    <col min="8" max="8" width="8.765625" customWidth="1"/>
    <col min="9" max="9" width="8.921875" customWidth="1"/>
    <col min="10" max="10" width="10.07421875" customWidth="1"/>
    <col min="11" max="11" width="11.4609375" customWidth="1"/>
    <col min="12" max="12" width="15.07421875" customWidth="1"/>
    <col min="13" max="13" width="14.53515625" customWidth="1"/>
    <col min="14" max="14" width="14.69140625" bestFit="1" customWidth="1"/>
  </cols>
  <sheetData>
    <row r="1" spans="1:14" x14ac:dyDescent="0.4">
      <c r="A1" t="s">
        <v>17</v>
      </c>
      <c r="C1">
        <v>1.5</v>
      </c>
      <c r="D1" t="s">
        <v>0</v>
      </c>
    </row>
    <row r="2" spans="1:14" x14ac:dyDescent="0.4">
      <c r="A2" t="s">
        <v>18</v>
      </c>
      <c r="C2">
        <v>0.25</v>
      </c>
    </row>
    <row r="3" spans="1:14" x14ac:dyDescent="0.4">
      <c r="A3" t="s">
        <v>21</v>
      </c>
      <c r="C3">
        <f>2*(35+4+1.2)</f>
        <v>80.400000000000006</v>
      </c>
      <c r="D3" t="s">
        <v>16</v>
      </c>
      <c r="E3" t="s">
        <v>22</v>
      </c>
    </row>
    <row r="4" spans="1:14" x14ac:dyDescent="0.4">
      <c r="A4" t="s">
        <v>19</v>
      </c>
      <c r="C4">
        <v>24.4</v>
      </c>
      <c r="D4" t="s">
        <v>16</v>
      </c>
    </row>
    <row r="5" spans="1:14" x14ac:dyDescent="0.4">
      <c r="A5" t="s">
        <v>20</v>
      </c>
      <c r="C5">
        <v>21.8</v>
      </c>
      <c r="D5" t="s">
        <v>16</v>
      </c>
      <c r="E5" t="s">
        <v>24</v>
      </c>
    </row>
    <row r="6" spans="1:14" x14ac:dyDescent="0.4">
      <c r="A6" t="s">
        <v>15</v>
      </c>
      <c r="C6">
        <v>0.5</v>
      </c>
      <c r="D6" t="s">
        <v>16</v>
      </c>
    </row>
    <row r="8" spans="1:14" s="1" customFormat="1" x14ac:dyDescent="0.4">
      <c r="A8" s="8" t="s">
        <v>13</v>
      </c>
      <c r="B8" s="10"/>
      <c r="C8" s="2" t="s">
        <v>3</v>
      </c>
      <c r="D8" s="8" t="s">
        <v>1</v>
      </c>
      <c r="E8" s="9"/>
      <c r="F8" s="10"/>
      <c r="G8" s="8" t="s">
        <v>2</v>
      </c>
      <c r="H8" s="9"/>
      <c r="I8" s="10"/>
      <c r="J8" s="2" t="s">
        <v>10</v>
      </c>
      <c r="K8" s="4"/>
      <c r="L8" s="8" t="s">
        <v>9</v>
      </c>
      <c r="M8" s="10"/>
      <c r="N8" s="1" t="s">
        <v>23</v>
      </c>
    </row>
    <row r="9" spans="1:14" s="2" customFormat="1" x14ac:dyDescent="0.4">
      <c r="A9" s="3" t="s">
        <v>7</v>
      </c>
      <c r="B9" s="4" t="s">
        <v>8</v>
      </c>
      <c r="C9" s="2" t="s">
        <v>4</v>
      </c>
      <c r="D9" s="3" t="s">
        <v>4</v>
      </c>
      <c r="E9" s="2" t="s">
        <v>5</v>
      </c>
      <c r="F9" s="4" t="s">
        <v>6</v>
      </c>
      <c r="G9" s="3" t="s">
        <v>4</v>
      </c>
      <c r="H9" s="2" t="s">
        <v>5</v>
      </c>
      <c r="I9" s="4" t="s">
        <v>6</v>
      </c>
      <c r="J9" s="2" t="s">
        <v>8</v>
      </c>
      <c r="K9" s="4" t="s">
        <v>14</v>
      </c>
      <c r="L9" s="3" t="s">
        <v>11</v>
      </c>
      <c r="M9" s="4" t="s">
        <v>12</v>
      </c>
    </row>
    <row r="10" spans="1:14" x14ac:dyDescent="0.4">
      <c r="A10">
        <v>1</v>
      </c>
      <c r="B10">
        <f t="shared" ref="B10:B51" si="0">A10*25.4</f>
        <v>25.4</v>
      </c>
      <c r="C10">
        <v>57</v>
      </c>
      <c r="D10">
        <f t="shared" ref="D10:D51" si="1">_xlfn.CEILING.MATH(0.8*C10)</f>
        <v>46</v>
      </c>
      <c r="E10">
        <f t="shared" ref="E10:E51" si="2">C10*$C$1</f>
        <v>85.5</v>
      </c>
      <c r="F10">
        <f t="shared" ref="F10:F51" si="3">E10+2*$C$1</f>
        <v>88.5</v>
      </c>
      <c r="G10">
        <v>139</v>
      </c>
      <c r="H10">
        <f t="shared" ref="H10:H51" si="4">G10*$C$1</f>
        <v>208.5</v>
      </c>
      <c r="I10">
        <f t="shared" ref="I10:I51" si="5">H10+2*$C$1</f>
        <v>211.5</v>
      </c>
      <c r="J10">
        <f t="shared" ref="J10:J51" si="6">(E10+H10)/2</f>
        <v>147</v>
      </c>
      <c r="K10" s="5">
        <f t="shared" ref="K10:K51" si="7">D10/G10</f>
        <v>0.33093525179856115</v>
      </c>
      <c r="L10" s="5">
        <f t="shared" ref="L10:L51" si="8">B10/K10/PI()</f>
        <v>24.430975742619378</v>
      </c>
      <c r="M10" s="5">
        <f t="shared" ref="M10:M51" si="9">L10 + 4*$C$6*_xlfn.CEILING.MATH(K10)</f>
        <v>26.430975742619378</v>
      </c>
      <c r="N10" s="7">
        <f>F10/M10</f>
        <v>3.3483440362474268</v>
      </c>
    </row>
    <row r="11" spans="1:14" x14ac:dyDescent="0.4">
      <c r="A11">
        <v>2</v>
      </c>
      <c r="B11">
        <f t="shared" si="0"/>
        <v>50.8</v>
      </c>
      <c r="C11">
        <v>57</v>
      </c>
      <c r="D11">
        <f t="shared" si="1"/>
        <v>46</v>
      </c>
      <c r="E11">
        <f t="shared" si="2"/>
        <v>85.5</v>
      </c>
      <c r="F11">
        <f t="shared" si="3"/>
        <v>88.5</v>
      </c>
      <c r="G11">
        <v>70</v>
      </c>
      <c r="H11">
        <f t="shared" si="4"/>
        <v>105</v>
      </c>
      <c r="I11">
        <f t="shared" si="5"/>
        <v>108</v>
      </c>
      <c r="J11">
        <f t="shared" si="6"/>
        <v>95.25</v>
      </c>
      <c r="K11" s="5">
        <f t="shared" si="7"/>
        <v>0.65714285714285714</v>
      </c>
      <c r="L11" s="5">
        <f t="shared" si="8"/>
        <v>24.606738158033906</v>
      </c>
      <c r="M11" s="5">
        <f t="shared" si="9"/>
        <v>26.606738158033906</v>
      </c>
      <c r="N11" s="7">
        <f t="shared" ref="N11:N51" si="10">F11/M11</f>
        <v>3.3262250890862179</v>
      </c>
    </row>
    <row r="12" spans="1:14" x14ac:dyDescent="0.4">
      <c r="A12">
        <v>3</v>
      </c>
      <c r="B12">
        <f t="shared" si="0"/>
        <v>76.199999999999989</v>
      </c>
      <c r="C12">
        <v>57</v>
      </c>
      <c r="D12">
        <f t="shared" si="1"/>
        <v>46</v>
      </c>
      <c r="E12">
        <f t="shared" si="2"/>
        <v>85.5</v>
      </c>
      <c r="F12">
        <f t="shared" si="3"/>
        <v>88.5</v>
      </c>
      <c r="G12">
        <v>47</v>
      </c>
      <c r="H12">
        <f t="shared" si="4"/>
        <v>70.5</v>
      </c>
      <c r="I12">
        <f t="shared" si="5"/>
        <v>73.5</v>
      </c>
      <c r="J12">
        <f t="shared" si="6"/>
        <v>78</v>
      </c>
      <c r="K12" s="5">
        <f t="shared" si="7"/>
        <v>0.97872340425531912</v>
      </c>
      <c r="L12" s="5">
        <f t="shared" si="8"/>
        <v>24.782500573448431</v>
      </c>
      <c r="M12" s="5">
        <f t="shared" si="9"/>
        <v>26.782500573448431</v>
      </c>
      <c r="N12" s="7">
        <f t="shared" si="10"/>
        <v>3.3043964568318507</v>
      </c>
    </row>
    <row r="13" spans="1:14" x14ac:dyDescent="0.4">
      <c r="A13">
        <v>4</v>
      </c>
      <c r="B13">
        <f t="shared" si="0"/>
        <v>101.6</v>
      </c>
      <c r="C13">
        <v>57</v>
      </c>
      <c r="D13">
        <f t="shared" si="1"/>
        <v>46</v>
      </c>
      <c r="E13">
        <f t="shared" si="2"/>
        <v>85.5</v>
      </c>
      <c r="F13">
        <f t="shared" si="3"/>
        <v>88.5</v>
      </c>
      <c r="G13">
        <v>35</v>
      </c>
      <c r="H13">
        <f t="shared" si="4"/>
        <v>52.5</v>
      </c>
      <c r="I13">
        <f t="shared" si="5"/>
        <v>55.5</v>
      </c>
      <c r="J13">
        <f t="shared" si="6"/>
        <v>69</v>
      </c>
      <c r="K13" s="5">
        <f t="shared" si="7"/>
        <v>1.3142857142857143</v>
      </c>
      <c r="L13" s="5">
        <f t="shared" si="8"/>
        <v>24.606738158033906</v>
      </c>
      <c r="M13" s="5">
        <f t="shared" si="9"/>
        <v>28.606738158033906</v>
      </c>
      <c r="N13" s="7">
        <f t="shared" si="10"/>
        <v>3.0936767243820036</v>
      </c>
    </row>
    <row r="14" spans="1:14" x14ac:dyDescent="0.4">
      <c r="A14">
        <v>5</v>
      </c>
      <c r="B14">
        <f t="shared" si="0"/>
        <v>127</v>
      </c>
      <c r="C14">
        <v>57</v>
      </c>
      <c r="D14">
        <f t="shared" si="1"/>
        <v>46</v>
      </c>
      <c r="E14">
        <f t="shared" si="2"/>
        <v>85.5</v>
      </c>
      <c r="F14">
        <f t="shared" si="3"/>
        <v>88.5</v>
      </c>
      <c r="G14">
        <v>28</v>
      </c>
      <c r="H14">
        <f t="shared" si="4"/>
        <v>42</v>
      </c>
      <c r="I14">
        <f t="shared" si="5"/>
        <v>45</v>
      </c>
      <c r="J14">
        <f t="shared" si="6"/>
        <v>63.75</v>
      </c>
      <c r="K14" s="5">
        <f t="shared" si="7"/>
        <v>1.6428571428571428</v>
      </c>
      <c r="L14" s="5">
        <f t="shared" si="8"/>
        <v>24.606738158033906</v>
      </c>
      <c r="M14" s="5">
        <f t="shared" si="9"/>
        <v>28.606738158033906</v>
      </c>
      <c r="N14" s="7">
        <f t="shared" si="10"/>
        <v>3.0936767243820036</v>
      </c>
    </row>
    <row r="15" spans="1:14" x14ac:dyDescent="0.4">
      <c r="A15">
        <v>6</v>
      </c>
      <c r="B15">
        <f t="shared" si="0"/>
        <v>152.39999999999998</v>
      </c>
      <c r="C15">
        <v>57</v>
      </c>
      <c r="D15">
        <f t="shared" si="1"/>
        <v>46</v>
      </c>
      <c r="E15">
        <f t="shared" si="2"/>
        <v>85.5</v>
      </c>
      <c r="F15">
        <f t="shared" si="3"/>
        <v>88.5</v>
      </c>
      <c r="G15">
        <v>24</v>
      </c>
      <c r="H15">
        <f t="shared" si="4"/>
        <v>36</v>
      </c>
      <c r="I15">
        <f t="shared" si="5"/>
        <v>39</v>
      </c>
      <c r="J15">
        <f t="shared" si="6"/>
        <v>60.75</v>
      </c>
      <c r="K15" s="5">
        <f t="shared" si="7"/>
        <v>1.9166666666666667</v>
      </c>
      <c r="L15" s="5">
        <f t="shared" si="8"/>
        <v>25.309787819692012</v>
      </c>
      <c r="M15" s="5">
        <f t="shared" si="9"/>
        <v>29.309787819692012</v>
      </c>
      <c r="N15" s="7">
        <f t="shared" si="10"/>
        <v>3.0194691460898455</v>
      </c>
    </row>
    <row r="16" spans="1:14" x14ac:dyDescent="0.4">
      <c r="A16">
        <v>7</v>
      </c>
      <c r="B16">
        <f t="shared" si="0"/>
        <v>177.79999999999998</v>
      </c>
      <c r="C16">
        <v>57</v>
      </c>
      <c r="D16">
        <f t="shared" si="1"/>
        <v>46</v>
      </c>
      <c r="E16">
        <f t="shared" si="2"/>
        <v>85.5</v>
      </c>
      <c r="F16">
        <f t="shared" si="3"/>
        <v>88.5</v>
      </c>
      <c r="G16">
        <v>20</v>
      </c>
      <c r="H16">
        <f t="shared" si="4"/>
        <v>30</v>
      </c>
      <c r="I16">
        <f t="shared" si="5"/>
        <v>33</v>
      </c>
      <c r="J16">
        <f t="shared" si="6"/>
        <v>57.75</v>
      </c>
      <c r="K16" s="5">
        <f t="shared" si="7"/>
        <v>2.2999999999999998</v>
      </c>
      <c r="L16" s="5">
        <f t="shared" si="8"/>
        <v>24.606738158033906</v>
      </c>
      <c r="M16" s="5">
        <f t="shared" si="9"/>
        <v>30.606738158033906</v>
      </c>
      <c r="N16" s="7">
        <f t="shared" si="10"/>
        <v>2.891520146414877</v>
      </c>
    </row>
    <row r="17" spans="1:14" x14ac:dyDescent="0.4">
      <c r="A17">
        <v>8</v>
      </c>
      <c r="B17">
        <f t="shared" si="0"/>
        <v>203.2</v>
      </c>
      <c r="C17">
        <v>57</v>
      </c>
      <c r="D17">
        <f t="shared" si="1"/>
        <v>46</v>
      </c>
      <c r="E17">
        <f t="shared" si="2"/>
        <v>85.5</v>
      </c>
      <c r="F17">
        <f t="shared" si="3"/>
        <v>88.5</v>
      </c>
      <c r="G17">
        <f t="shared" ref="G17:G57" si="11">_xlfn.CEILING.MATH(($C$4 + 2*(1+$C$2)*$C$1) / $C$1)</f>
        <v>19</v>
      </c>
      <c r="H17">
        <f t="shared" si="4"/>
        <v>28.5</v>
      </c>
      <c r="I17">
        <f t="shared" si="5"/>
        <v>31.5</v>
      </c>
      <c r="J17">
        <f t="shared" si="6"/>
        <v>57</v>
      </c>
      <c r="K17" s="5">
        <f t="shared" si="7"/>
        <v>2.4210526315789473</v>
      </c>
      <c r="L17" s="5">
        <f t="shared" si="8"/>
        <v>26.715887143008239</v>
      </c>
      <c r="M17" s="5">
        <f t="shared" si="9"/>
        <v>32.715887143008239</v>
      </c>
      <c r="N17" s="7">
        <f t="shared" si="10"/>
        <v>2.7051077543197071</v>
      </c>
    </row>
    <row r="18" spans="1:14" x14ac:dyDescent="0.4">
      <c r="A18">
        <v>9</v>
      </c>
      <c r="B18">
        <f t="shared" si="0"/>
        <v>228.6</v>
      </c>
      <c r="C18">
        <v>57</v>
      </c>
      <c r="D18">
        <f t="shared" si="1"/>
        <v>46</v>
      </c>
      <c r="E18">
        <f t="shared" si="2"/>
        <v>85.5</v>
      </c>
      <c r="F18">
        <f t="shared" si="3"/>
        <v>88.5</v>
      </c>
      <c r="G18">
        <f t="shared" si="11"/>
        <v>19</v>
      </c>
      <c r="H18">
        <f t="shared" si="4"/>
        <v>28.5</v>
      </c>
      <c r="I18">
        <f t="shared" si="5"/>
        <v>31.5</v>
      </c>
      <c r="J18">
        <f t="shared" si="6"/>
        <v>57</v>
      </c>
      <c r="K18" s="5">
        <f t="shared" si="7"/>
        <v>2.4210526315789473</v>
      </c>
      <c r="L18" s="5">
        <f t="shared" si="8"/>
        <v>30.055373035884273</v>
      </c>
      <c r="M18" s="5">
        <f t="shared" si="9"/>
        <v>36.055373035884273</v>
      </c>
      <c r="N18" s="7">
        <f t="shared" si="10"/>
        <v>2.4545578799564765</v>
      </c>
    </row>
    <row r="19" spans="1:14" x14ac:dyDescent="0.4">
      <c r="A19">
        <v>10</v>
      </c>
      <c r="B19">
        <f t="shared" si="0"/>
        <v>254</v>
      </c>
      <c r="C19">
        <v>57</v>
      </c>
      <c r="D19">
        <f t="shared" si="1"/>
        <v>46</v>
      </c>
      <c r="E19">
        <f t="shared" si="2"/>
        <v>85.5</v>
      </c>
      <c r="F19">
        <f t="shared" si="3"/>
        <v>88.5</v>
      </c>
      <c r="G19">
        <f t="shared" si="11"/>
        <v>19</v>
      </c>
      <c r="H19">
        <f t="shared" si="4"/>
        <v>28.5</v>
      </c>
      <c r="I19">
        <f t="shared" si="5"/>
        <v>31.5</v>
      </c>
      <c r="J19">
        <f t="shared" si="6"/>
        <v>57</v>
      </c>
      <c r="K19" s="5">
        <f t="shared" si="7"/>
        <v>2.4210526315789473</v>
      </c>
      <c r="L19" s="5">
        <f t="shared" si="8"/>
        <v>33.3948589287603</v>
      </c>
      <c r="M19" s="5">
        <f t="shared" si="9"/>
        <v>39.3948589287603</v>
      </c>
      <c r="N19" s="7">
        <f t="shared" si="10"/>
        <v>2.2464860239768591</v>
      </c>
    </row>
    <row r="20" spans="1:14" x14ac:dyDescent="0.4">
      <c r="A20">
        <v>11</v>
      </c>
      <c r="B20">
        <f t="shared" si="0"/>
        <v>279.39999999999998</v>
      </c>
      <c r="C20">
        <v>57</v>
      </c>
      <c r="D20">
        <f t="shared" si="1"/>
        <v>46</v>
      </c>
      <c r="E20">
        <f t="shared" si="2"/>
        <v>85.5</v>
      </c>
      <c r="F20">
        <f t="shared" si="3"/>
        <v>88.5</v>
      </c>
      <c r="G20">
        <f t="shared" si="11"/>
        <v>19</v>
      </c>
      <c r="H20">
        <f t="shared" si="4"/>
        <v>28.5</v>
      </c>
      <c r="I20">
        <f t="shared" si="5"/>
        <v>31.5</v>
      </c>
      <c r="J20">
        <f t="shared" si="6"/>
        <v>57</v>
      </c>
      <c r="K20" s="5">
        <f t="shared" si="7"/>
        <v>2.4210526315789473</v>
      </c>
      <c r="L20" s="5">
        <f t="shared" si="8"/>
        <v>36.734344821636327</v>
      </c>
      <c r="M20" s="5">
        <f t="shared" si="9"/>
        <v>42.734344821636327</v>
      </c>
      <c r="N20" s="7">
        <f t="shared" si="10"/>
        <v>2.070933820779969</v>
      </c>
    </row>
    <row r="21" spans="1:14" x14ac:dyDescent="0.4">
      <c r="A21">
        <v>12</v>
      </c>
      <c r="B21">
        <f t="shared" si="0"/>
        <v>304.79999999999995</v>
      </c>
      <c r="C21">
        <v>57</v>
      </c>
      <c r="D21">
        <f t="shared" si="1"/>
        <v>46</v>
      </c>
      <c r="E21">
        <f t="shared" si="2"/>
        <v>85.5</v>
      </c>
      <c r="F21">
        <f t="shared" si="3"/>
        <v>88.5</v>
      </c>
      <c r="G21">
        <f t="shared" si="11"/>
        <v>19</v>
      </c>
      <c r="H21">
        <f t="shared" si="4"/>
        <v>28.5</v>
      </c>
      <c r="I21">
        <f t="shared" si="5"/>
        <v>31.5</v>
      </c>
      <c r="J21">
        <f t="shared" si="6"/>
        <v>57</v>
      </c>
      <c r="K21" s="5">
        <f t="shared" si="7"/>
        <v>2.4210526315789473</v>
      </c>
      <c r="L21" s="5">
        <f t="shared" si="8"/>
        <v>40.073830714512354</v>
      </c>
      <c r="M21" s="5">
        <f t="shared" si="9"/>
        <v>46.073830714512354</v>
      </c>
      <c r="N21" s="7">
        <f t="shared" si="10"/>
        <v>1.9208300813616574</v>
      </c>
    </row>
    <row r="22" spans="1:14" x14ac:dyDescent="0.4">
      <c r="A22">
        <v>13</v>
      </c>
      <c r="B22">
        <f t="shared" si="0"/>
        <v>330.2</v>
      </c>
      <c r="C22">
        <v>57</v>
      </c>
      <c r="D22">
        <f t="shared" si="1"/>
        <v>46</v>
      </c>
      <c r="E22">
        <f t="shared" si="2"/>
        <v>85.5</v>
      </c>
      <c r="F22">
        <f t="shared" si="3"/>
        <v>88.5</v>
      </c>
      <c r="G22">
        <f t="shared" si="11"/>
        <v>19</v>
      </c>
      <c r="H22">
        <f t="shared" si="4"/>
        <v>28.5</v>
      </c>
      <c r="I22">
        <f t="shared" si="5"/>
        <v>31.5</v>
      </c>
      <c r="J22">
        <f t="shared" si="6"/>
        <v>57</v>
      </c>
      <c r="K22" s="5">
        <f t="shared" si="7"/>
        <v>2.4210526315789473</v>
      </c>
      <c r="L22" s="5">
        <f t="shared" si="8"/>
        <v>43.413316607388396</v>
      </c>
      <c r="M22" s="5">
        <f t="shared" si="9"/>
        <v>49.413316607388396</v>
      </c>
      <c r="N22" s="7">
        <f t="shared" si="10"/>
        <v>1.7910151772076612</v>
      </c>
    </row>
    <row r="23" spans="1:14" x14ac:dyDescent="0.4">
      <c r="A23">
        <v>14</v>
      </c>
      <c r="B23">
        <f t="shared" si="0"/>
        <v>355.59999999999997</v>
      </c>
      <c r="C23">
        <v>57</v>
      </c>
      <c r="D23">
        <f t="shared" si="1"/>
        <v>46</v>
      </c>
      <c r="E23">
        <f t="shared" si="2"/>
        <v>85.5</v>
      </c>
      <c r="F23">
        <f t="shared" si="3"/>
        <v>88.5</v>
      </c>
      <c r="G23">
        <f t="shared" si="11"/>
        <v>19</v>
      </c>
      <c r="H23">
        <f t="shared" si="4"/>
        <v>28.5</v>
      </c>
      <c r="I23">
        <f t="shared" si="5"/>
        <v>31.5</v>
      </c>
      <c r="J23">
        <f t="shared" si="6"/>
        <v>57</v>
      </c>
      <c r="K23" s="5">
        <f t="shared" si="7"/>
        <v>2.4210526315789473</v>
      </c>
      <c r="L23" s="5">
        <f t="shared" si="8"/>
        <v>46.752802500264416</v>
      </c>
      <c r="M23" s="5">
        <f t="shared" si="9"/>
        <v>52.752802500264416</v>
      </c>
      <c r="N23" s="7">
        <f t="shared" si="10"/>
        <v>1.6776359890937815</v>
      </c>
    </row>
    <row r="24" spans="1:14" x14ac:dyDescent="0.4">
      <c r="A24">
        <v>15</v>
      </c>
      <c r="B24">
        <f t="shared" si="0"/>
        <v>381</v>
      </c>
      <c r="C24">
        <v>57</v>
      </c>
      <c r="D24">
        <f t="shared" si="1"/>
        <v>46</v>
      </c>
      <c r="E24">
        <f t="shared" si="2"/>
        <v>85.5</v>
      </c>
      <c r="F24">
        <f t="shared" si="3"/>
        <v>88.5</v>
      </c>
      <c r="G24">
        <f t="shared" si="11"/>
        <v>19</v>
      </c>
      <c r="H24">
        <f t="shared" si="4"/>
        <v>28.5</v>
      </c>
      <c r="I24">
        <f t="shared" si="5"/>
        <v>31.5</v>
      </c>
      <c r="J24">
        <f t="shared" si="6"/>
        <v>57</v>
      </c>
      <c r="K24" s="5">
        <f t="shared" si="7"/>
        <v>2.4210526315789473</v>
      </c>
      <c r="L24" s="5">
        <f t="shared" si="8"/>
        <v>50.092288393140457</v>
      </c>
      <c r="M24" s="5">
        <f t="shared" si="9"/>
        <v>56.092288393140457</v>
      </c>
      <c r="N24" s="7">
        <f t="shared" si="10"/>
        <v>1.5777569882640532</v>
      </c>
    </row>
    <row r="25" spans="1:14" x14ac:dyDescent="0.4">
      <c r="A25">
        <v>16</v>
      </c>
      <c r="B25">
        <f t="shared" si="0"/>
        <v>406.4</v>
      </c>
      <c r="C25">
        <v>57</v>
      </c>
      <c r="D25">
        <f t="shared" si="1"/>
        <v>46</v>
      </c>
      <c r="E25">
        <f t="shared" si="2"/>
        <v>85.5</v>
      </c>
      <c r="F25">
        <f t="shared" si="3"/>
        <v>88.5</v>
      </c>
      <c r="G25">
        <f t="shared" si="11"/>
        <v>19</v>
      </c>
      <c r="H25">
        <f t="shared" si="4"/>
        <v>28.5</v>
      </c>
      <c r="I25">
        <f t="shared" si="5"/>
        <v>31.5</v>
      </c>
      <c r="J25">
        <f t="shared" si="6"/>
        <v>57</v>
      </c>
      <c r="K25" s="5">
        <f t="shared" si="7"/>
        <v>2.4210526315789473</v>
      </c>
      <c r="L25" s="5">
        <f t="shared" si="8"/>
        <v>53.431774286016477</v>
      </c>
      <c r="M25" s="5">
        <f t="shared" si="9"/>
        <v>59.431774286016477</v>
      </c>
      <c r="N25" s="7">
        <f t="shared" si="10"/>
        <v>1.4891024382696731</v>
      </c>
    </row>
    <row r="26" spans="1:14" x14ac:dyDescent="0.4">
      <c r="A26">
        <v>17</v>
      </c>
      <c r="B26">
        <f t="shared" si="0"/>
        <v>431.79999999999995</v>
      </c>
      <c r="C26">
        <v>57</v>
      </c>
      <c r="D26">
        <f t="shared" si="1"/>
        <v>46</v>
      </c>
      <c r="E26">
        <f t="shared" si="2"/>
        <v>85.5</v>
      </c>
      <c r="F26">
        <f t="shared" si="3"/>
        <v>88.5</v>
      </c>
      <c r="G26">
        <f t="shared" si="11"/>
        <v>19</v>
      </c>
      <c r="H26">
        <f t="shared" si="4"/>
        <v>28.5</v>
      </c>
      <c r="I26">
        <f t="shared" si="5"/>
        <v>31.5</v>
      </c>
      <c r="J26">
        <f t="shared" si="6"/>
        <v>57</v>
      </c>
      <c r="K26" s="5">
        <f t="shared" si="7"/>
        <v>2.4210526315789473</v>
      </c>
      <c r="L26" s="5">
        <f t="shared" si="8"/>
        <v>56.771260178892504</v>
      </c>
      <c r="M26" s="5">
        <f t="shared" si="9"/>
        <v>62.771260178892504</v>
      </c>
      <c r="N26" s="7">
        <f t="shared" si="10"/>
        <v>1.4098808873325608</v>
      </c>
    </row>
    <row r="27" spans="1:14" x14ac:dyDescent="0.4">
      <c r="A27">
        <v>18</v>
      </c>
      <c r="B27">
        <f t="shared" si="0"/>
        <v>457.2</v>
      </c>
      <c r="C27">
        <v>57</v>
      </c>
      <c r="D27">
        <f t="shared" si="1"/>
        <v>46</v>
      </c>
      <c r="E27">
        <f t="shared" si="2"/>
        <v>85.5</v>
      </c>
      <c r="F27">
        <f t="shared" si="3"/>
        <v>88.5</v>
      </c>
      <c r="G27">
        <f t="shared" si="11"/>
        <v>19</v>
      </c>
      <c r="H27">
        <f t="shared" si="4"/>
        <v>28.5</v>
      </c>
      <c r="I27">
        <f t="shared" si="5"/>
        <v>31.5</v>
      </c>
      <c r="J27">
        <f t="shared" si="6"/>
        <v>57</v>
      </c>
      <c r="K27" s="5">
        <f t="shared" si="7"/>
        <v>2.4210526315789473</v>
      </c>
      <c r="L27" s="5">
        <f t="shared" si="8"/>
        <v>60.110746071768546</v>
      </c>
      <c r="M27" s="5">
        <f t="shared" si="9"/>
        <v>66.110746071768546</v>
      </c>
      <c r="N27" s="7">
        <f t="shared" si="10"/>
        <v>1.338662853750374</v>
      </c>
    </row>
    <row r="28" spans="1:14" x14ac:dyDescent="0.4">
      <c r="A28">
        <v>19</v>
      </c>
      <c r="B28">
        <f t="shared" si="0"/>
        <v>482.59999999999997</v>
      </c>
      <c r="C28">
        <v>57</v>
      </c>
      <c r="D28">
        <f t="shared" si="1"/>
        <v>46</v>
      </c>
      <c r="E28">
        <f t="shared" si="2"/>
        <v>85.5</v>
      </c>
      <c r="F28">
        <f t="shared" si="3"/>
        <v>88.5</v>
      </c>
      <c r="G28">
        <f t="shared" si="11"/>
        <v>19</v>
      </c>
      <c r="H28">
        <f t="shared" si="4"/>
        <v>28.5</v>
      </c>
      <c r="I28">
        <f t="shared" si="5"/>
        <v>31.5</v>
      </c>
      <c r="J28">
        <f t="shared" si="6"/>
        <v>57</v>
      </c>
      <c r="K28" s="5">
        <f t="shared" si="7"/>
        <v>2.4210526315789473</v>
      </c>
      <c r="L28" s="5">
        <f t="shared" si="8"/>
        <v>63.450231964644566</v>
      </c>
      <c r="M28" s="5">
        <f t="shared" si="9"/>
        <v>69.450231964644559</v>
      </c>
      <c r="N28" s="7">
        <f t="shared" si="10"/>
        <v>1.2742937999840407</v>
      </c>
    </row>
    <row r="29" spans="1:14" x14ac:dyDescent="0.4">
      <c r="A29">
        <v>20</v>
      </c>
      <c r="B29">
        <f t="shared" si="0"/>
        <v>508</v>
      </c>
      <c r="C29">
        <v>57</v>
      </c>
      <c r="D29">
        <f t="shared" si="1"/>
        <v>46</v>
      </c>
      <c r="E29">
        <f t="shared" si="2"/>
        <v>85.5</v>
      </c>
      <c r="F29">
        <f t="shared" si="3"/>
        <v>88.5</v>
      </c>
      <c r="G29">
        <f t="shared" si="11"/>
        <v>19</v>
      </c>
      <c r="H29">
        <f t="shared" si="4"/>
        <v>28.5</v>
      </c>
      <c r="I29">
        <f t="shared" si="5"/>
        <v>31.5</v>
      </c>
      <c r="J29">
        <f t="shared" si="6"/>
        <v>57</v>
      </c>
      <c r="K29" s="5">
        <f t="shared" si="7"/>
        <v>2.4210526315789473</v>
      </c>
      <c r="L29" s="5">
        <f t="shared" si="8"/>
        <v>66.7897178575206</v>
      </c>
      <c r="M29" s="5">
        <f t="shared" si="9"/>
        <v>72.7897178575206</v>
      </c>
      <c r="N29" s="7">
        <f t="shared" si="10"/>
        <v>1.2158310624754842</v>
      </c>
    </row>
    <row r="30" spans="1:14" x14ac:dyDescent="0.4">
      <c r="A30">
        <v>21</v>
      </c>
      <c r="B30">
        <f t="shared" si="0"/>
        <v>533.4</v>
      </c>
      <c r="C30">
        <v>57</v>
      </c>
      <c r="D30">
        <f t="shared" si="1"/>
        <v>46</v>
      </c>
      <c r="E30">
        <f t="shared" si="2"/>
        <v>85.5</v>
      </c>
      <c r="F30">
        <f t="shared" si="3"/>
        <v>88.5</v>
      </c>
      <c r="G30">
        <f t="shared" si="11"/>
        <v>19</v>
      </c>
      <c r="H30">
        <f t="shared" si="4"/>
        <v>28.5</v>
      </c>
      <c r="I30">
        <f t="shared" si="5"/>
        <v>31.5</v>
      </c>
      <c r="J30">
        <f t="shared" si="6"/>
        <v>57</v>
      </c>
      <c r="K30" s="5">
        <f t="shared" si="7"/>
        <v>2.4210526315789473</v>
      </c>
      <c r="L30" s="5">
        <f t="shared" si="8"/>
        <v>70.129203750396627</v>
      </c>
      <c r="M30" s="5">
        <f t="shared" si="9"/>
        <v>76.129203750396627</v>
      </c>
      <c r="N30" s="7">
        <f t="shared" si="10"/>
        <v>1.1624973812961878</v>
      </c>
    </row>
    <row r="31" spans="1:14" x14ac:dyDescent="0.4">
      <c r="A31">
        <v>22</v>
      </c>
      <c r="B31">
        <f t="shared" si="0"/>
        <v>558.79999999999995</v>
      </c>
      <c r="C31">
        <v>57</v>
      </c>
      <c r="D31">
        <f t="shared" si="1"/>
        <v>46</v>
      </c>
      <c r="E31">
        <f t="shared" si="2"/>
        <v>85.5</v>
      </c>
      <c r="F31">
        <f t="shared" si="3"/>
        <v>88.5</v>
      </c>
      <c r="G31">
        <f t="shared" si="11"/>
        <v>19</v>
      </c>
      <c r="H31">
        <f t="shared" si="4"/>
        <v>28.5</v>
      </c>
      <c r="I31">
        <f t="shared" si="5"/>
        <v>31.5</v>
      </c>
      <c r="J31">
        <f t="shared" si="6"/>
        <v>57</v>
      </c>
      <c r="K31" s="5">
        <f t="shared" si="7"/>
        <v>2.4210526315789473</v>
      </c>
      <c r="L31" s="5">
        <f t="shared" si="8"/>
        <v>73.468689643272654</v>
      </c>
      <c r="M31" s="5">
        <f t="shared" si="9"/>
        <v>79.468689643272654</v>
      </c>
      <c r="N31" s="7">
        <f t="shared" si="10"/>
        <v>1.1136461466430116</v>
      </c>
    </row>
    <row r="32" spans="1:14" x14ac:dyDescent="0.4">
      <c r="A32">
        <v>23</v>
      </c>
      <c r="B32">
        <f t="shared" si="0"/>
        <v>584.19999999999993</v>
      </c>
      <c r="C32">
        <v>57</v>
      </c>
      <c r="D32">
        <f t="shared" si="1"/>
        <v>46</v>
      </c>
      <c r="E32">
        <f t="shared" si="2"/>
        <v>85.5</v>
      </c>
      <c r="F32">
        <f t="shared" si="3"/>
        <v>88.5</v>
      </c>
      <c r="G32">
        <f t="shared" si="11"/>
        <v>19</v>
      </c>
      <c r="H32">
        <f t="shared" si="4"/>
        <v>28.5</v>
      </c>
      <c r="I32">
        <f t="shared" si="5"/>
        <v>31.5</v>
      </c>
      <c r="J32">
        <f t="shared" si="6"/>
        <v>57</v>
      </c>
      <c r="K32" s="5">
        <f t="shared" si="7"/>
        <v>2.4210526315789473</v>
      </c>
      <c r="L32" s="5">
        <f t="shared" si="8"/>
        <v>76.808175536148681</v>
      </c>
      <c r="M32" s="5">
        <f t="shared" si="9"/>
        <v>82.808175536148681</v>
      </c>
      <c r="N32" s="7">
        <f t="shared" si="10"/>
        <v>1.0687350545643484</v>
      </c>
    </row>
    <row r="33" spans="1:14" s="1" customFormat="1" x14ac:dyDescent="0.4">
      <c r="A33" s="1">
        <v>24</v>
      </c>
      <c r="B33" s="1">
        <f t="shared" si="0"/>
        <v>609.59999999999991</v>
      </c>
      <c r="C33" s="1">
        <v>57</v>
      </c>
      <c r="D33" s="1">
        <f t="shared" si="1"/>
        <v>46</v>
      </c>
      <c r="E33" s="1">
        <f t="shared" si="2"/>
        <v>85.5</v>
      </c>
      <c r="F33" s="1">
        <f t="shared" si="3"/>
        <v>88.5</v>
      </c>
      <c r="G33" s="1">
        <f t="shared" si="11"/>
        <v>19</v>
      </c>
      <c r="H33" s="1">
        <f t="shared" si="4"/>
        <v>28.5</v>
      </c>
      <c r="I33" s="1">
        <f t="shared" si="5"/>
        <v>31.5</v>
      </c>
      <c r="J33" s="1">
        <f t="shared" si="6"/>
        <v>57</v>
      </c>
      <c r="K33" s="6">
        <f t="shared" si="7"/>
        <v>2.4210526315789473</v>
      </c>
      <c r="L33" s="6">
        <f t="shared" si="8"/>
        <v>80.147661429024708</v>
      </c>
      <c r="M33" s="6">
        <f t="shared" si="9"/>
        <v>86.147661429024708</v>
      </c>
      <c r="N33" s="7">
        <f t="shared" si="10"/>
        <v>1.0273058900491843</v>
      </c>
    </row>
    <row r="34" spans="1:14" x14ac:dyDescent="0.4">
      <c r="A34">
        <v>25</v>
      </c>
      <c r="B34">
        <f t="shared" si="0"/>
        <v>635</v>
      </c>
      <c r="C34">
        <v>57</v>
      </c>
      <c r="D34">
        <f t="shared" si="1"/>
        <v>46</v>
      </c>
      <c r="E34">
        <f t="shared" si="2"/>
        <v>85.5</v>
      </c>
      <c r="F34">
        <f t="shared" si="3"/>
        <v>88.5</v>
      </c>
      <c r="G34">
        <f t="shared" si="11"/>
        <v>19</v>
      </c>
      <c r="H34">
        <f t="shared" si="4"/>
        <v>28.5</v>
      </c>
      <c r="I34">
        <f t="shared" si="5"/>
        <v>31.5</v>
      </c>
      <c r="J34">
        <f t="shared" si="6"/>
        <v>57</v>
      </c>
      <c r="K34" s="5">
        <f t="shared" si="7"/>
        <v>2.4210526315789473</v>
      </c>
      <c r="L34" s="5">
        <f t="shared" si="8"/>
        <v>83.48714732190075</v>
      </c>
      <c r="M34" s="5">
        <f t="shared" si="9"/>
        <v>89.48714732190075</v>
      </c>
      <c r="N34" s="7">
        <f t="shared" si="10"/>
        <v>0.98896883685039361</v>
      </c>
    </row>
    <row r="35" spans="1:14" x14ac:dyDescent="0.4">
      <c r="A35">
        <v>26</v>
      </c>
      <c r="B35">
        <f t="shared" si="0"/>
        <v>660.4</v>
      </c>
      <c r="C35">
        <v>58</v>
      </c>
      <c r="D35">
        <f t="shared" si="1"/>
        <v>47</v>
      </c>
      <c r="E35">
        <f t="shared" si="2"/>
        <v>87</v>
      </c>
      <c r="F35">
        <f t="shared" si="3"/>
        <v>90</v>
      </c>
      <c r="G35">
        <f t="shared" si="11"/>
        <v>19</v>
      </c>
      <c r="H35">
        <f t="shared" si="4"/>
        <v>28.5</v>
      </c>
      <c r="I35">
        <f t="shared" si="5"/>
        <v>31.5</v>
      </c>
      <c r="J35">
        <f t="shared" si="6"/>
        <v>57.75</v>
      </c>
      <c r="K35" s="5">
        <f t="shared" si="7"/>
        <v>2.4736842105263159</v>
      </c>
      <c r="L35" s="5">
        <f t="shared" si="8"/>
        <v>84.979258039994278</v>
      </c>
      <c r="M35" s="5">
        <f t="shared" si="9"/>
        <v>90.979258039994278</v>
      </c>
      <c r="N35" s="7">
        <f t="shared" si="10"/>
        <v>0.98923646926683229</v>
      </c>
    </row>
    <row r="36" spans="1:14" x14ac:dyDescent="0.4">
      <c r="A36">
        <v>27</v>
      </c>
      <c r="B36">
        <f t="shared" si="0"/>
        <v>685.8</v>
      </c>
      <c r="C36">
        <v>59</v>
      </c>
      <c r="D36">
        <f t="shared" si="1"/>
        <v>48</v>
      </c>
      <c r="E36">
        <f t="shared" si="2"/>
        <v>88.5</v>
      </c>
      <c r="F36">
        <f t="shared" si="3"/>
        <v>91.5</v>
      </c>
      <c r="G36">
        <f t="shared" si="11"/>
        <v>19</v>
      </c>
      <c r="H36">
        <f t="shared" si="4"/>
        <v>28.5</v>
      </c>
      <c r="I36">
        <f t="shared" si="5"/>
        <v>31.5</v>
      </c>
      <c r="J36">
        <f t="shared" si="6"/>
        <v>58.5</v>
      </c>
      <c r="K36" s="5">
        <f t="shared" si="7"/>
        <v>2.5263157894736841</v>
      </c>
      <c r="L36" s="5">
        <f t="shared" si="8"/>
        <v>86.409197478167272</v>
      </c>
      <c r="M36" s="5">
        <f t="shared" si="9"/>
        <v>92.409197478167272</v>
      </c>
      <c r="N36" s="7">
        <f t="shared" si="10"/>
        <v>0.99016117980699836</v>
      </c>
    </row>
    <row r="37" spans="1:14" x14ac:dyDescent="0.4">
      <c r="A37">
        <v>28</v>
      </c>
      <c r="B37">
        <f t="shared" si="0"/>
        <v>711.19999999999993</v>
      </c>
      <c r="C37">
        <v>60</v>
      </c>
      <c r="D37">
        <f t="shared" si="1"/>
        <v>48</v>
      </c>
      <c r="E37">
        <f t="shared" si="2"/>
        <v>90</v>
      </c>
      <c r="F37">
        <f t="shared" si="3"/>
        <v>93</v>
      </c>
      <c r="G37">
        <f t="shared" si="11"/>
        <v>19</v>
      </c>
      <c r="H37">
        <f t="shared" si="4"/>
        <v>28.5</v>
      </c>
      <c r="I37">
        <f t="shared" si="5"/>
        <v>31.5</v>
      </c>
      <c r="J37">
        <f t="shared" si="6"/>
        <v>59.25</v>
      </c>
      <c r="K37" s="5">
        <f t="shared" si="7"/>
        <v>2.5263157894736841</v>
      </c>
      <c r="L37" s="5">
        <f t="shared" si="8"/>
        <v>89.609538125506802</v>
      </c>
      <c r="M37" s="5">
        <f t="shared" si="9"/>
        <v>95.609538125506802</v>
      </c>
      <c r="N37" s="7">
        <f t="shared" si="10"/>
        <v>0.97270629921795815</v>
      </c>
    </row>
    <row r="38" spans="1:14" x14ac:dyDescent="0.4">
      <c r="A38">
        <v>29</v>
      </c>
      <c r="B38">
        <f t="shared" si="0"/>
        <v>736.59999999999991</v>
      </c>
      <c r="C38">
        <v>61</v>
      </c>
      <c r="D38">
        <f t="shared" si="1"/>
        <v>49</v>
      </c>
      <c r="E38">
        <f t="shared" si="2"/>
        <v>91.5</v>
      </c>
      <c r="F38">
        <f t="shared" si="3"/>
        <v>94.5</v>
      </c>
      <c r="G38">
        <f t="shared" si="11"/>
        <v>19</v>
      </c>
      <c r="H38">
        <f t="shared" si="4"/>
        <v>28.5</v>
      </c>
      <c r="I38">
        <f t="shared" si="5"/>
        <v>31.5</v>
      </c>
      <c r="J38">
        <f t="shared" si="6"/>
        <v>60</v>
      </c>
      <c r="K38" s="5">
        <f t="shared" si="7"/>
        <v>2.5789473684210527</v>
      </c>
      <c r="L38" s="5">
        <f t="shared" si="8"/>
        <v>90.915799614216809</v>
      </c>
      <c r="M38" s="5">
        <f t="shared" si="9"/>
        <v>96.915799614216809</v>
      </c>
      <c r="N38" s="7">
        <f t="shared" si="10"/>
        <v>0.9750732117587313</v>
      </c>
    </row>
    <row r="39" spans="1:14" x14ac:dyDescent="0.4">
      <c r="A39">
        <v>30</v>
      </c>
      <c r="B39">
        <f t="shared" si="0"/>
        <v>762</v>
      </c>
      <c r="C39">
        <v>62</v>
      </c>
      <c r="D39">
        <f t="shared" si="1"/>
        <v>50</v>
      </c>
      <c r="E39">
        <f t="shared" si="2"/>
        <v>93</v>
      </c>
      <c r="F39">
        <f t="shared" si="3"/>
        <v>96</v>
      </c>
      <c r="G39">
        <f t="shared" si="11"/>
        <v>19</v>
      </c>
      <c r="H39">
        <f t="shared" si="4"/>
        <v>28.5</v>
      </c>
      <c r="I39">
        <f t="shared" si="5"/>
        <v>31.5</v>
      </c>
      <c r="J39">
        <f t="shared" si="6"/>
        <v>60.75</v>
      </c>
      <c r="K39" s="5">
        <f t="shared" si="7"/>
        <v>2.6315789473684212</v>
      </c>
      <c r="L39" s="5">
        <f t="shared" si="8"/>
        <v>92.169810643378426</v>
      </c>
      <c r="M39" s="5">
        <f t="shared" si="9"/>
        <v>98.169810643378426</v>
      </c>
      <c r="N39" s="7">
        <f t="shared" si="10"/>
        <v>0.97789737365124707</v>
      </c>
    </row>
    <row r="40" spans="1:14" x14ac:dyDescent="0.4">
      <c r="A40">
        <v>31</v>
      </c>
      <c r="B40">
        <f t="shared" si="0"/>
        <v>787.4</v>
      </c>
      <c r="C40">
        <v>63</v>
      </c>
      <c r="D40">
        <f t="shared" si="1"/>
        <v>51</v>
      </c>
      <c r="E40">
        <f t="shared" si="2"/>
        <v>94.5</v>
      </c>
      <c r="F40">
        <f t="shared" si="3"/>
        <v>97.5</v>
      </c>
      <c r="G40">
        <f t="shared" si="11"/>
        <v>19</v>
      </c>
      <c r="H40">
        <f t="shared" si="4"/>
        <v>28.5</v>
      </c>
      <c r="I40">
        <f t="shared" si="5"/>
        <v>31.5</v>
      </c>
      <c r="J40">
        <f t="shared" si="6"/>
        <v>61.5</v>
      </c>
      <c r="K40" s="5">
        <f t="shared" si="7"/>
        <v>2.6842105263157894</v>
      </c>
      <c r="L40" s="5">
        <f t="shared" si="8"/>
        <v>93.374644769435676</v>
      </c>
      <c r="M40" s="5">
        <f t="shared" si="9"/>
        <v>99.374644769435676</v>
      </c>
      <c r="N40" s="7">
        <f t="shared" si="10"/>
        <v>0.98113558268524992</v>
      </c>
    </row>
    <row r="41" spans="1:14" x14ac:dyDescent="0.4">
      <c r="A41">
        <v>32</v>
      </c>
      <c r="B41">
        <f t="shared" si="0"/>
        <v>812.8</v>
      </c>
      <c r="C41">
        <v>64</v>
      </c>
      <c r="D41">
        <f t="shared" si="1"/>
        <v>52</v>
      </c>
      <c r="E41">
        <f t="shared" si="2"/>
        <v>96</v>
      </c>
      <c r="F41">
        <f t="shared" si="3"/>
        <v>99</v>
      </c>
      <c r="G41">
        <f t="shared" si="11"/>
        <v>19</v>
      </c>
      <c r="H41">
        <f t="shared" si="4"/>
        <v>28.5</v>
      </c>
      <c r="I41">
        <f t="shared" si="5"/>
        <v>31.5</v>
      </c>
      <c r="J41">
        <f t="shared" si="6"/>
        <v>62.25</v>
      </c>
      <c r="K41" s="5">
        <f t="shared" si="7"/>
        <v>2.736842105263158</v>
      </c>
      <c r="L41" s="5">
        <f t="shared" si="8"/>
        <v>94.533139121413768</v>
      </c>
      <c r="M41" s="5">
        <f t="shared" si="9"/>
        <v>100.53313912141377</v>
      </c>
      <c r="N41" s="7">
        <f t="shared" si="10"/>
        <v>0.98474991296589076</v>
      </c>
    </row>
    <row r="42" spans="1:14" x14ac:dyDescent="0.4">
      <c r="A42">
        <v>33</v>
      </c>
      <c r="B42">
        <f t="shared" si="0"/>
        <v>838.19999999999993</v>
      </c>
      <c r="C42">
        <v>65</v>
      </c>
      <c r="D42">
        <f t="shared" si="1"/>
        <v>52</v>
      </c>
      <c r="E42">
        <f t="shared" si="2"/>
        <v>97.5</v>
      </c>
      <c r="F42">
        <f t="shared" si="3"/>
        <v>100.5</v>
      </c>
      <c r="G42">
        <f t="shared" si="11"/>
        <v>19</v>
      </c>
      <c r="H42">
        <f t="shared" si="4"/>
        <v>28.5</v>
      </c>
      <c r="I42">
        <f t="shared" si="5"/>
        <v>31.5</v>
      </c>
      <c r="J42">
        <f t="shared" si="6"/>
        <v>63</v>
      </c>
      <c r="K42" s="5">
        <f t="shared" si="7"/>
        <v>2.736842105263158</v>
      </c>
      <c r="L42" s="5">
        <f t="shared" si="8"/>
        <v>97.487299718957942</v>
      </c>
      <c r="M42" s="5">
        <f t="shared" si="9"/>
        <v>103.48729971895794</v>
      </c>
      <c r="N42" s="7">
        <f t="shared" si="10"/>
        <v>0.97113365865115242</v>
      </c>
    </row>
    <row r="43" spans="1:14" x14ac:dyDescent="0.4">
      <c r="A43">
        <v>34</v>
      </c>
      <c r="B43">
        <f t="shared" si="0"/>
        <v>863.59999999999991</v>
      </c>
      <c r="C43">
        <v>66</v>
      </c>
      <c r="D43">
        <f t="shared" si="1"/>
        <v>53</v>
      </c>
      <c r="E43">
        <f t="shared" si="2"/>
        <v>99</v>
      </c>
      <c r="F43">
        <f t="shared" si="3"/>
        <v>102</v>
      </c>
      <c r="G43">
        <f t="shared" si="11"/>
        <v>19</v>
      </c>
      <c r="H43">
        <f t="shared" si="4"/>
        <v>28.5</v>
      </c>
      <c r="I43">
        <f t="shared" si="5"/>
        <v>31.5</v>
      </c>
      <c r="J43">
        <f t="shared" si="6"/>
        <v>63.75</v>
      </c>
      <c r="K43" s="5">
        <f t="shared" si="7"/>
        <v>2.7894736842105261</v>
      </c>
      <c r="L43" s="5">
        <f t="shared" si="8"/>
        <v>98.54633842373795</v>
      </c>
      <c r="M43" s="5">
        <f t="shared" si="9"/>
        <v>104.54633842373795</v>
      </c>
      <c r="N43" s="7">
        <f t="shared" si="10"/>
        <v>0.97564392534325439</v>
      </c>
    </row>
    <row r="44" spans="1:14" x14ac:dyDescent="0.4">
      <c r="A44">
        <v>35</v>
      </c>
      <c r="B44">
        <f t="shared" si="0"/>
        <v>889</v>
      </c>
      <c r="C44">
        <v>67</v>
      </c>
      <c r="D44">
        <f t="shared" si="1"/>
        <v>54</v>
      </c>
      <c r="E44">
        <f t="shared" si="2"/>
        <v>100.5</v>
      </c>
      <c r="F44">
        <f t="shared" si="3"/>
        <v>103.5</v>
      </c>
      <c r="G44">
        <f t="shared" si="11"/>
        <v>19</v>
      </c>
      <c r="H44">
        <f t="shared" si="4"/>
        <v>28.5</v>
      </c>
      <c r="I44">
        <f t="shared" si="5"/>
        <v>31.5</v>
      </c>
      <c r="J44">
        <f t="shared" si="6"/>
        <v>64.5</v>
      </c>
      <c r="K44" s="5">
        <f t="shared" si="7"/>
        <v>2.8421052631578947</v>
      </c>
      <c r="L44" s="5">
        <f t="shared" si="8"/>
        <v>99.566153472785345</v>
      </c>
      <c r="M44" s="5">
        <f t="shared" si="9"/>
        <v>105.56615347278535</v>
      </c>
      <c r="N44" s="7">
        <f t="shared" si="10"/>
        <v>0.98042787953510124</v>
      </c>
    </row>
    <row r="45" spans="1:14" x14ac:dyDescent="0.4">
      <c r="A45">
        <v>36</v>
      </c>
      <c r="B45">
        <f t="shared" si="0"/>
        <v>914.4</v>
      </c>
      <c r="C45">
        <v>68</v>
      </c>
      <c r="D45">
        <f t="shared" si="1"/>
        <v>55</v>
      </c>
      <c r="E45">
        <f t="shared" si="2"/>
        <v>102</v>
      </c>
      <c r="F45">
        <f t="shared" si="3"/>
        <v>105</v>
      </c>
      <c r="G45">
        <f t="shared" si="11"/>
        <v>19</v>
      </c>
      <c r="H45">
        <f t="shared" si="4"/>
        <v>28.5</v>
      </c>
      <c r="I45">
        <f t="shared" si="5"/>
        <v>31.5</v>
      </c>
      <c r="J45">
        <f t="shared" si="6"/>
        <v>65.25</v>
      </c>
      <c r="K45" s="5">
        <f t="shared" si="7"/>
        <v>2.8947368421052633</v>
      </c>
      <c r="L45" s="5">
        <f t="shared" si="8"/>
        <v>100.54888433823102</v>
      </c>
      <c r="M45" s="5">
        <f t="shared" si="9"/>
        <v>106.54888433823102</v>
      </c>
      <c r="N45" s="7">
        <f t="shared" si="10"/>
        <v>0.98546315761210401</v>
      </c>
    </row>
    <row r="46" spans="1:14" x14ac:dyDescent="0.4">
      <c r="A46">
        <v>37</v>
      </c>
      <c r="B46">
        <f t="shared" si="0"/>
        <v>939.8</v>
      </c>
      <c r="C46">
        <v>69</v>
      </c>
      <c r="D46">
        <f t="shared" si="1"/>
        <v>56</v>
      </c>
      <c r="E46">
        <f t="shared" si="2"/>
        <v>103.5</v>
      </c>
      <c r="F46">
        <f t="shared" si="3"/>
        <v>106.5</v>
      </c>
      <c r="G46">
        <f t="shared" si="11"/>
        <v>19</v>
      </c>
      <c r="H46">
        <f t="shared" si="4"/>
        <v>28.5</v>
      </c>
      <c r="I46">
        <f t="shared" si="5"/>
        <v>31.5</v>
      </c>
      <c r="J46">
        <f t="shared" si="6"/>
        <v>66</v>
      </c>
      <c r="K46" s="5">
        <f t="shared" si="7"/>
        <v>2.9473684210526314</v>
      </c>
      <c r="L46" s="5">
        <f t="shared" si="8"/>
        <v>101.49651767276791</v>
      </c>
      <c r="M46" s="5">
        <f t="shared" si="9"/>
        <v>107.49651767276791</v>
      </c>
      <c r="N46" s="7">
        <f t="shared" si="10"/>
        <v>0.99072976786279321</v>
      </c>
    </row>
    <row r="47" spans="1:14" x14ac:dyDescent="0.4">
      <c r="A47">
        <v>38</v>
      </c>
      <c r="B47">
        <f t="shared" si="0"/>
        <v>965.19999999999993</v>
      </c>
      <c r="C47">
        <v>70</v>
      </c>
      <c r="D47">
        <f t="shared" si="1"/>
        <v>56</v>
      </c>
      <c r="E47">
        <f t="shared" si="2"/>
        <v>105</v>
      </c>
      <c r="F47">
        <f t="shared" si="3"/>
        <v>108</v>
      </c>
      <c r="G47">
        <f t="shared" si="11"/>
        <v>19</v>
      </c>
      <c r="H47">
        <f t="shared" si="4"/>
        <v>28.5</v>
      </c>
      <c r="I47">
        <f t="shared" si="5"/>
        <v>31.5</v>
      </c>
      <c r="J47">
        <f t="shared" si="6"/>
        <v>66.75</v>
      </c>
      <c r="K47" s="5">
        <f t="shared" si="7"/>
        <v>2.9473684210526314</v>
      </c>
      <c r="L47" s="5">
        <f t="shared" si="8"/>
        <v>104.23966679905892</v>
      </c>
      <c r="M47" s="5">
        <f t="shared" si="9"/>
        <v>110.23966679905892</v>
      </c>
      <c r="N47" s="7">
        <f t="shared" si="10"/>
        <v>0.97968365776049282</v>
      </c>
    </row>
    <row r="48" spans="1:14" x14ac:dyDescent="0.4">
      <c r="A48">
        <v>39</v>
      </c>
      <c r="B48">
        <f t="shared" si="0"/>
        <v>990.59999999999991</v>
      </c>
      <c r="C48">
        <v>71</v>
      </c>
      <c r="D48">
        <f t="shared" si="1"/>
        <v>57</v>
      </c>
      <c r="E48">
        <f t="shared" si="2"/>
        <v>106.5</v>
      </c>
      <c r="F48">
        <f t="shared" si="3"/>
        <v>109.5</v>
      </c>
      <c r="G48">
        <f t="shared" si="11"/>
        <v>19</v>
      </c>
      <c r="H48">
        <f t="shared" si="4"/>
        <v>28.5</v>
      </c>
      <c r="I48">
        <f t="shared" si="5"/>
        <v>31.5</v>
      </c>
      <c r="J48">
        <f t="shared" si="6"/>
        <v>67.5</v>
      </c>
      <c r="K48" s="5">
        <f t="shared" si="7"/>
        <v>3</v>
      </c>
      <c r="L48" s="5">
        <f t="shared" si="8"/>
        <v>105.10592441788768</v>
      </c>
      <c r="M48" s="5">
        <f t="shared" si="9"/>
        <v>111.10592441788768</v>
      </c>
      <c r="N48" s="7">
        <f t="shared" si="10"/>
        <v>0.98554600552309402</v>
      </c>
    </row>
    <row r="49" spans="1:14" x14ac:dyDescent="0.4">
      <c r="A49">
        <v>40</v>
      </c>
      <c r="B49">
        <f t="shared" si="0"/>
        <v>1016</v>
      </c>
      <c r="C49">
        <v>72</v>
      </c>
      <c r="D49">
        <f t="shared" si="1"/>
        <v>58</v>
      </c>
      <c r="E49">
        <f t="shared" si="2"/>
        <v>108</v>
      </c>
      <c r="F49">
        <f t="shared" si="3"/>
        <v>111</v>
      </c>
      <c r="G49">
        <f t="shared" si="11"/>
        <v>19</v>
      </c>
      <c r="H49">
        <f t="shared" si="4"/>
        <v>28.5</v>
      </c>
      <c r="I49">
        <f t="shared" si="5"/>
        <v>31.5</v>
      </c>
      <c r="J49">
        <f t="shared" si="6"/>
        <v>68.25</v>
      </c>
      <c r="K49" s="5">
        <f t="shared" si="7"/>
        <v>3.0526315789473686</v>
      </c>
      <c r="L49" s="5">
        <f t="shared" si="8"/>
        <v>105.94231108434302</v>
      </c>
      <c r="M49" s="5">
        <f t="shared" si="9"/>
        <v>113.94231108434302</v>
      </c>
      <c r="N49" s="7">
        <f t="shared" si="10"/>
        <v>0.97417718618885096</v>
      </c>
    </row>
    <row r="50" spans="1:14" x14ac:dyDescent="0.4">
      <c r="A50">
        <v>41</v>
      </c>
      <c r="B50">
        <f t="shared" si="0"/>
        <v>1041.3999999999999</v>
      </c>
      <c r="C50">
        <v>73</v>
      </c>
      <c r="D50">
        <f t="shared" si="1"/>
        <v>59</v>
      </c>
      <c r="E50">
        <f t="shared" si="2"/>
        <v>109.5</v>
      </c>
      <c r="F50">
        <f t="shared" si="3"/>
        <v>112.5</v>
      </c>
      <c r="G50">
        <f t="shared" si="11"/>
        <v>19</v>
      </c>
      <c r="H50">
        <f t="shared" si="4"/>
        <v>28.5</v>
      </c>
      <c r="I50">
        <f t="shared" si="5"/>
        <v>31.5</v>
      </c>
      <c r="J50">
        <f t="shared" si="6"/>
        <v>69</v>
      </c>
      <c r="K50" s="5">
        <f t="shared" si="7"/>
        <v>3.1052631578947367</v>
      </c>
      <c r="L50" s="5">
        <f t="shared" si="8"/>
        <v>106.75034566041005</v>
      </c>
      <c r="M50" s="5">
        <f t="shared" si="9"/>
        <v>114.75034566041005</v>
      </c>
      <c r="N50" s="7">
        <f t="shared" si="10"/>
        <v>0.98038920364501836</v>
      </c>
    </row>
    <row r="51" spans="1:14" x14ac:dyDescent="0.4">
      <c r="A51">
        <v>42</v>
      </c>
      <c r="B51">
        <f t="shared" si="0"/>
        <v>1066.8</v>
      </c>
      <c r="C51">
        <v>74</v>
      </c>
      <c r="D51">
        <f t="shared" si="1"/>
        <v>60</v>
      </c>
      <c r="E51">
        <f t="shared" si="2"/>
        <v>111</v>
      </c>
      <c r="F51">
        <f t="shared" si="3"/>
        <v>114</v>
      </c>
      <c r="G51">
        <f t="shared" si="11"/>
        <v>19</v>
      </c>
      <c r="H51">
        <f t="shared" si="4"/>
        <v>28.5</v>
      </c>
      <c r="I51">
        <f t="shared" si="5"/>
        <v>31.5</v>
      </c>
      <c r="J51">
        <f t="shared" si="6"/>
        <v>69.75</v>
      </c>
      <c r="K51" s="5">
        <f t="shared" si="7"/>
        <v>3.1578947368421053</v>
      </c>
      <c r="L51" s="5">
        <f t="shared" si="8"/>
        <v>107.53144575060817</v>
      </c>
      <c r="M51" s="5">
        <f t="shared" si="9"/>
        <v>115.53144575060817</v>
      </c>
      <c r="N51" s="7">
        <f t="shared" si="10"/>
        <v>0.98674433838632969</v>
      </c>
    </row>
    <row r="52" spans="1:14" x14ac:dyDescent="0.4">
      <c r="A52">
        <v>43</v>
      </c>
      <c r="B52">
        <f t="shared" ref="B52" si="12">A52*25.4</f>
        <v>1092.2</v>
      </c>
      <c r="C52">
        <v>75</v>
      </c>
      <c r="D52">
        <f t="shared" ref="D52" si="13">_xlfn.CEILING.MATH(0.8*C52)</f>
        <v>60</v>
      </c>
      <c r="E52">
        <f t="shared" ref="E52" si="14">C52*$C$1</f>
        <v>112.5</v>
      </c>
      <c r="F52">
        <f t="shared" ref="F52" si="15">E52+2*$C$1</f>
        <v>115.5</v>
      </c>
      <c r="G52">
        <f t="shared" si="11"/>
        <v>19</v>
      </c>
      <c r="H52">
        <f t="shared" ref="H52" si="16">G52*$C$1</f>
        <v>28.5</v>
      </c>
      <c r="I52">
        <f t="shared" ref="I52" si="17">H52+2*$C$1</f>
        <v>31.5</v>
      </c>
      <c r="J52">
        <f t="shared" ref="J52" si="18">(E52+H52)/2</f>
        <v>70.5</v>
      </c>
      <c r="K52" s="5">
        <f t="shared" ref="K52" si="19">D52/G52</f>
        <v>3.1578947368421053</v>
      </c>
      <c r="L52" s="5">
        <f t="shared" ref="L52" si="20">B52/K52/PI()</f>
        <v>110.0917182684798</v>
      </c>
      <c r="M52" s="5">
        <f t="shared" ref="M52" si="21">L52 + 4*$C$6*_xlfn.CEILING.MATH(K52)</f>
        <v>118.0917182684798</v>
      </c>
      <c r="N52" s="7">
        <f t="shared" ref="N52" si="22">F52/M52</f>
        <v>0.97805334441330116</v>
      </c>
    </row>
    <row r="53" spans="1:14" x14ac:dyDescent="0.4">
      <c r="A53">
        <v>44</v>
      </c>
      <c r="B53">
        <f t="shared" ref="B53:B57" si="23">A53*25.4</f>
        <v>1117.5999999999999</v>
      </c>
      <c r="C53">
        <v>76</v>
      </c>
      <c r="D53">
        <f t="shared" ref="D53:D57" si="24">_xlfn.CEILING.MATH(0.8*C53)</f>
        <v>61</v>
      </c>
      <c r="E53">
        <f t="shared" ref="E53:E57" si="25">C53*$C$1</f>
        <v>114</v>
      </c>
      <c r="F53">
        <f t="shared" ref="F53:F57" si="26">E53+2*$C$1</f>
        <v>117</v>
      </c>
      <c r="G53">
        <f t="shared" si="11"/>
        <v>19</v>
      </c>
      <c r="H53">
        <f t="shared" ref="H53:H57" si="27">G53*$C$1</f>
        <v>28.5</v>
      </c>
      <c r="I53">
        <f t="shared" ref="I53:I57" si="28">H53+2*$C$1</f>
        <v>31.5</v>
      </c>
      <c r="J53">
        <f t="shared" ref="J53:J57" si="29">(E53+H53)/2</f>
        <v>71.25</v>
      </c>
      <c r="K53" s="5">
        <f t="shared" ref="K53:K57" si="30">D53/G53</f>
        <v>3.2105263157894739</v>
      </c>
      <c r="L53" s="5">
        <f t="shared" ref="L53:L57" si="31">B53/K53/PI()</f>
        <v>110.80523683903417</v>
      </c>
      <c r="M53" s="5">
        <f t="shared" ref="M53:M57" si="32">L53 + 4*$C$6*_xlfn.CEILING.MATH(K53)</f>
        <v>118.80523683903417</v>
      </c>
      <c r="N53" s="7">
        <f t="shared" ref="N53:N57" si="33">F53/M53</f>
        <v>0.98480507352146418</v>
      </c>
    </row>
    <row r="54" spans="1:14" x14ac:dyDescent="0.4">
      <c r="A54">
        <v>45</v>
      </c>
      <c r="B54">
        <f t="shared" si="23"/>
        <v>1143</v>
      </c>
      <c r="C54">
        <v>77</v>
      </c>
      <c r="D54">
        <f t="shared" si="24"/>
        <v>62</v>
      </c>
      <c r="E54">
        <f t="shared" si="25"/>
        <v>115.5</v>
      </c>
      <c r="F54">
        <f t="shared" si="26"/>
        <v>118.5</v>
      </c>
      <c r="G54">
        <f t="shared" si="11"/>
        <v>19</v>
      </c>
      <c r="H54">
        <f t="shared" si="27"/>
        <v>28.5</v>
      </c>
      <c r="I54">
        <f t="shared" si="28"/>
        <v>31.5</v>
      </c>
      <c r="J54">
        <f t="shared" si="29"/>
        <v>72</v>
      </c>
      <c r="K54" s="5">
        <f t="shared" si="30"/>
        <v>3.263157894736842</v>
      </c>
      <c r="L54" s="5">
        <f t="shared" si="31"/>
        <v>111.49573868150618</v>
      </c>
      <c r="M54" s="5">
        <f t="shared" si="32"/>
        <v>119.49573868150618</v>
      </c>
      <c r="N54" s="7">
        <f t="shared" si="33"/>
        <v>0.99166716158673962</v>
      </c>
    </row>
    <row r="55" spans="1:14" x14ac:dyDescent="0.4">
      <c r="A55">
        <v>46</v>
      </c>
      <c r="B55">
        <f t="shared" si="23"/>
        <v>1168.3999999999999</v>
      </c>
      <c r="C55">
        <v>77</v>
      </c>
      <c r="D55">
        <f t="shared" si="24"/>
        <v>62</v>
      </c>
      <c r="E55">
        <f t="shared" si="25"/>
        <v>115.5</v>
      </c>
      <c r="F55">
        <f t="shared" si="26"/>
        <v>118.5</v>
      </c>
      <c r="G55">
        <f t="shared" si="11"/>
        <v>19</v>
      </c>
      <c r="H55">
        <f t="shared" si="27"/>
        <v>28.5</v>
      </c>
      <c r="I55">
        <f t="shared" si="28"/>
        <v>31.5</v>
      </c>
      <c r="J55">
        <f t="shared" si="29"/>
        <v>72</v>
      </c>
      <c r="K55" s="5">
        <f t="shared" si="30"/>
        <v>3.263157894736842</v>
      </c>
      <c r="L55" s="5">
        <f t="shared" si="31"/>
        <v>113.9734217633174</v>
      </c>
      <c r="M55" s="5">
        <f t="shared" si="32"/>
        <v>121.9734217633174</v>
      </c>
      <c r="N55" s="7">
        <f t="shared" si="33"/>
        <v>0.97152312599660129</v>
      </c>
    </row>
    <row r="56" spans="1:14" x14ac:dyDescent="0.4">
      <c r="A56">
        <v>47</v>
      </c>
      <c r="B56">
        <f t="shared" si="23"/>
        <v>1193.8</v>
      </c>
      <c r="C56">
        <v>78</v>
      </c>
      <c r="D56">
        <f t="shared" si="24"/>
        <v>63</v>
      </c>
      <c r="E56">
        <f t="shared" si="25"/>
        <v>117</v>
      </c>
      <c r="F56">
        <f t="shared" si="26"/>
        <v>120</v>
      </c>
      <c r="G56">
        <f t="shared" si="11"/>
        <v>19</v>
      </c>
      <c r="H56">
        <f t="shared" si="27"/>
        <v>28.5</v>
      </c>
      <c r="I56">
        <f t="shared" si="28"/>
        <v>31.5</v>
      </c>
      <c r="J56">
        <f t="shared" si="29"/>
        <v>72.75</v>
      </c>
      <c r="K56" s="5">
        <f t="shared" si="30"/>
        <v>3.3157894736842106</v>
      </c>
      <c r="L56" s="5">
        <f t="shared" si="31"/>
        <v>114.6026746094917</v>
      </c>
      <c r="M56" s="5">
        <f t="shared" si="32"/>
        <v>122.6026746094917</v>
      </c>
      <c r="N56" s="7">
        <f t="shared" si="33"/>
        <v>0.9787714695639258</v>
      </c>
    </row>
    <row r="57" spans="1:14" x14ac:dyDescent="0.4">
      <c r="A57">
        <v>48</v>
      </c>
      <c r="B57">
        <f t="shared" si="23"/>
        <v>1219.1999999999998</v>
      </c>
      <c r="C57">
        <v>79</v>
      </c>
      <c r="D57">
        <f t="shared" si="24"/>
        <v>64</v>
      </c>
      <c r="E57">
        <f t="shared" si="25"/>
        <v>118.5</v>
      </c>
      <c r="F57">
        <f t="shared" si="26"/>
        <v>121.5</v>
      </c>
      <c r="G57">
        <f t="shared" si="11"/>
        <v>19</v>
      </c>
      <c r="H57">
        <f t="shared" si="27"/>
        <v>28.5</v>
      </c>
      <c r="I57">
        <f t="shared" si="28"/>
        <v>31.5</v>
      </c>
      <c r="J57">
        <f t="shared" si="29"/>
        <v>73.5</v>
      </c>
      <c r="K57" s="5">
        <f t="shared" si="30"/>
        <v>3.3684210526315788</v>
      </c>
      <c r="L57" s="5">
        <f t="shared" si="31"/>
        <v>115.21226330422303</v>
      </c>
      <c r="M57" s="5">
        <f t="shared" si="32"/>
        <v>123.21226330422303</v>
      </c>
      <c r="N57" s="7">
        <f t="shared" si="33"/>
        <v>0.98610314218483852</v>
      </c>
    </row>
  </sheetData>
  <mergeCells count="4">
    <mergeCell ref="D8:F8"/>
    <mergeCell ref="G8:I8"/>
    <mergeCell ref="A8:B8"/>
    <mergeCell ref="L8:M8"/>
  </mergeCells>
  <conditionalFormatting sqref="I10:I57">
    <cfRule type="cellIs" dxfId="2" priority="1" operator="greaterThan">
      <formula>M10</formula>
    </cfRule>
  </conditionalFormatting>
  <conditionalFormatting sqref="L10:L57">
    <cfRule type="cellIs" dxfId="1" priority="2" operator="lessThan">
      <formula>$C$4</formula>
    </cfRule>
  </conditionalFormatting>
  <conditionalFormatting sqref="M10:M57">
    <cfRule type="cellIs" dxfId="0" priority="3" operator="greaterThan">
      <formula>2*J10 - $C$5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FD04-CC5E-4C3D-8AEB-E4702795F5BB}">
  <dimension ref="A1"/>
  <sheetViews>
    <sheetView workbookViewId="0">
      <selection activeCell="H31" sqref="H31"/>
    </sheetView>
  </sheetViews>
  <sheetFormatPr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McCarthy</dc:creator>
  <cp:lastModifiedBy>Adrian McCarthy</cp:lastModifiedBy>
  <dcterms:created xsi:type="dcterms:W3CDTF">2025-09-04T13:07:38Z</dcterms:created>
  <dcterms:modified xsi:type="dcterms:W3CDTF">2026-05-30T15:35:41Z</dcterms:modified>
</cp:coreProperties>
</file>