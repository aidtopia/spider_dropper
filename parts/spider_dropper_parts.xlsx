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_projects\spider_dropper\parts\"/>
    </mc:Choice>
  </mc:AlternateContent>
  <xr:revisionPtr revIDLastSave="0" documentId="13_ncr:1_{1AF8F470-9F5B-4219-A96A-4A0E4E92E49B}" xr6:coauthVersionLast="47" xr6:coauthVersionMax="47" xr10:uidLastSave="{00000000-0000-0000-0000-000000000000}"/>
  <bookViews>
    <workbookView xWindow="-103" yWindow="-103" windowWidth="33120" windowHeight="18120" xr2:uid="{92CA6418-27FC-4AD5-98BD-397EC845101D}"/>
  </bookViews>
  <sheets>
    <sheet name="Parts" sheetId="1" r:id="rId1"/>
    <sheet name="Switch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1" l="1"/>
  <c r="G31" i="1"/>
  <c r="F31" i="1"/>
  <c r="E31" i="1"/>
  <c r="D31" i="1"/>
  <c r="C31" i="1"/>
  <c r="B31" i="1"/>
  <c r="A31" i="1"/>
  <c r="H44" i="1"/>
  <c r="J44" i="1" s="1"/>
  <c r="E44" i="1"/>
  <c r="G44" i="1" s="1"/>
  <c r="H43" i="1"/>
  <c r="J43" i="1" s="1"/>
  <c r="E43" i="1"/>
  <c r="G43" i="1" s="1"/>
  <c r="H8" i="1"/>
  <c r="J8" i="1" s="1"/>
  <c r="E8" i="1"/>
  <c r="G8" i="1" s="1"/>
  <c r="E41" i="1"/>
  <c r="G41" i="1" s="1"/>
  <c r="H41" i="1" s="1"/>
  <c r="J41" i="1" s="1"/>
  <c r="E42" i="1"/>
  <c r="G42" i="1" s="1"/>
  <c r="H42" i="1" s="1"/>
  <c r="J42" i="1" s="1"/>
  <c r="E45" i="1"/>
  <c r="G45" i="1" s="1"/>
  <c r="H45" i="1" s="1"/>
  <c r="J45" i="1" s="1"/>
  <c r="E40" i="1"/>
  <c r="G40" i="1" s="1"/>
  <c r="H40" i="1" s="1"/>
  <c r="J40" i="1" s="1"/>
  <c r="E23" i="1"/>
  <c r="G23" i="1" s="1"/>
  <c r="H23" i="1" s="1"/>
  <c r="J23" i="1" s="1"/>
  <c r="E16" i="1"/>
  <c r="G16" i="1" s="1"/>
  <c r="H16" i="1" s="1"/>
  <c r="J16" i="1" s="1"/>
  <c r="E15" i="1"/>
  <c r="G15" i="1" s="1"/>
  <c r="E33" i="1"/>
  <c r="G33" i="1" s="1"/>
  <c r="H33" i="1" s="1"/>
  <c r="J33" i="1" s="1"/>
  <c r="E38" i="1"/>
  <c r="G38" i="1" s="1"/>
  <c r="H38" i="1" s="1"/>
  <c r="J38" i="1" s="1"/>
  <c r="E39" i="1"/>
  <c r="G39" i="1" s="1"/>
  <c r="H39" i="1" s="1"/>
  <c r="J39" i="1" s="1"/>
  <c r="E28" i="1"/>
  <c r="G28" i="1" s="1"/>
  <c r="H28" i="1" s="1"/>
  <c r="J28" i="1" s="1"/>
  <c r="E36" i="1"/>
  <c r="G36" i="1" s="1"/>
  <c r="H36" i="1" s="1"/>
  <c r="J36" i="1" s="1"/>
  <c r="E37" i="1"/>
  <c r="G37" i="1" s="1"/>
  <c r="H37" i="1" s="1"/>
  <c r="J37" i="1" s="1"/>
  <c r="E35" i="1"/>
  <c r="G35" i="1" s="1"/>
  <c r="H35" i="1" s="1"/>
  <c r="J35" i="1" s="1"/>
  <c r="E34" i="1"/>
  <c r="G34" i="1" s="1"/>
  <c r="H34" i="1" s="1"/>
  <c r="J34" i="1" s="1"/>
  <c r="E32" i="1"/>
  <c r="G32" i="1" s="1"/>
  <c r="H32" i="1" s="1"/>
  <c r="J32" i="1" s="1"/>
  <c r="E30" i="1"/>
  <c r="G30" i="1" s="1"/>
  <c r="H30" i="1" s="1"/>
  <c r="J30" i="1" s="1"/>
  <c r="E29" i="1"/>
  <c r="G29" i="1" s="1"/>
  <c r="H29" i="1" s="1"/>
  <c r="J29" i="1" s="1"/>
  <c r="G27" i="1"/>
  <c r="H27" i="1" s="1"/>
  <c r="J27" i="1" s="1"/>
  <c r="B9" i="1"/>
  <c r="E9" i="1" s="1"/>
  <c r="G9" i="1" s="1"/>
  <c r="H9" i="1" s="1"/>
  <c r="H7" i="1"/>
  <c r="J7" i="1" s="1"/>
  <c r="E7" i="1"/>
  <c r="G7" i="1" s="1"/>
  <c r="E14" i="1"/>
  <c r="G14" i="1" s="1"/>
  <c r="H14" i="1" s="1"/>
  <c r="E13" i="1"/>
  <c r="G13" i="1" s="1"/>
  <c r="E22" i="1"/>
  <c r="G22" i="1" s="1"/>
  <c r="H22" i="1" s="1"/>
  <c r="E21" i="1"/>
  <c r="G21" i="1" s="1"/>
  <c r="H21" i="1" s="1"/>
  <c r="E20" i="1"/>
  <c r="G20" i="1" s="1"/>
  <c r="H20" i="1" s="1"/>
  <c r="E6" i="1"/>
  <c r="G6" i="1" s="1"/>
  <c r="H6" i="1" s="1"/>
  <c r="E5" i="1"/>
  <c r="G5" i="1" s="1"/>
  <c r="H5" i="1" s="1"/>
  <c r="E4" i="1"/>
  <c r="G4" i="1" s="1"/>
  <c r="H4" i="1" s="1"/>
  <c r="J31" i="1" l="1"/>
  <c r="J46" i="1" s="1"/>
  <c r="N46" i="1" s="1"/>
  <c r="H15" i="1"/>
  <c r="J15" i="1" s="1"/>
  <c r="H13" i="1"/>
  <c r="J13" i="1" s="1"/>
  <c r="J9" i="1"/>
  <c r="J22" i="1"/>
  <c r="J14" i="1"/>
  <c r="J21" i="1"/>
  <c r="J6" i="1"/>
  <c r="J5" i="1"/>
  <c r="J20" i="1"/>
  <c r="J4" i="1"/>
  <c r="J24" i="1" l="1"/>
  <c r="J17" i="1"/>
  <c r="L17" i="1" s="1"/>
  <c r="J10" i="1"/>
  <c r="N10" i="1" s="1"/>
  <c r="M10" i="1" l="1"/>
  <c r="L10" i="1"/>
  <c r="L48" i="1" s="1"/>
  <c r="M24" i="1"/>
  <c r="M48" i="1" s="1"/>
  <c r="N24" i="1"/>
  <c r="N48" i="1" s="1"/>
</calcChain>
</file>

<file path=xl/sharedStrings.xml><?xml version="1.0" encoding="utf-8"?>
<sst xmlns="http://schemas.openxmlformats.org/spreadsheetml/2006/main" count="179" uniqueCount="107">
  <si>
    <t>Price</t>
  </si>
  <si>
    <t>Each</t>
  </si>
  <si>
    <t>Needed</t>
  </si>
  <si>
    <t>Extended</t>
  </si>
  <si>
    <t>JGY 370 motor</t>
  </si>
  <si>
    <t>https://www.amazon.com/gp/product/B099JZ351N/</t>
  </si>
  <si>
    <t>https://www.amazon.com/gp/product/B08CN5G99M/</t>
  </si>
  <si>
    <t>https://www.amazon.com/gp/product/B07TWZ7X38/</t>
  </si>
  <si>
    <t>https://www.amazon.com/gp/product/B072BXB2Y8/</t>
  </si>
  <si>
    <t>https://monsterguts.com/products/mini-motor-5rpm-110vac</t>
  </si>
  <si>
    <t>https://www.amazon.com/gp/product/B09NPKBTHR/</t>
  </si>
  <si>
    <t>M3x16mm self-tapping flanged</t>
  </si>
  <si>
    <t>M3x6mm machine screws</t>
  </si>
  <si>
    <t>DC Option</t>
  </si>
  <si>
    <t>AC Option</t>
  </si>
  <si>
    <t>Total</t>
  </si>
  <si>
    <t>Subtotal</t>
  </si>
  <si>
    <t>Shipping</t>
  </si>
  <si>
    <t>https://www.usps.com/ship/priority-mail.htm</t>
  </si>
  <si>
    <t>printer filament</t>
  </si>
  <si>
    <t>plastic spider</t>
  </si>
  <si>
    <t>bearings 608-RS</t>
  </si>
  <si>
    <t>"reindeer" motor</t>
  </si>
  <si>
    <t>Cost</t>
  </si>
  <si>
    <t>Quantity</t>
  </si>
  <si>
    <t>Tax</t>
  </si>
  <si>
    <t>https://www.printedsolid.com/collections/prusament/products/prusament-petg-1-75mm-1kg-prusa-galaxy-black</t>
  </si>
  <si>
    <t>Unit</t>
  </si>
  <si>
    <t>count</t>
  </si>
  <si>
    <t>feet</t>
  </si>
  <si>
    <t>g</t>
  </si>
  <si>
    <t>ZX10C20C01</t>
  </si>
  <si>
    <t>ZX10C30C01</t>
  </si>
  <si>
    <t>ZX10E20C01</t>
  </si>
  <si>
    <t>ZX10E30C01</t>
  </si>
  <si>
    <t>ZX40C20C01</t>
  </si>
  <si>
    <t>ZX40C30C01</t>
  </si>
  <si>
    <t>ZX40E20C01</t>
  </si>
  <si>
    <t>ZX40E30C01</t>
  </si>
  <si>
    <t>ZX(1|4)0(C|E)(2|3)0C01</t>
  </si>
  <si>
    <t>Any of these Honeywell Microswitch models will work.</t>
  </si>
  <si>
    <t>Honeywell</t>
  </si>
  <si>
    <t>Amazon Price</t>
  </si>
  <si>
    <t>Amazon Product</t>
  </si>
  <si>
    <t>480-5342-ND</t>
  </si>
  <si>
    <t>https://www.amazon.com/dp/B07YKH3TDR/</t>
  </si>
  <si>
    <t>ZX40E20C01-ND</t>
  </si>
  <si>
    <t>DigiKey Part</t>
  </si>
  <si>
    <t>DigiKey Price</t>
  </si>
  <si>
    <t>Notes</t>
  </si>
  <si>
    <t>1, 2, 3</t>
  </si>
  <si>
    <t>3. DigiKey price requires large quantity.</t>
  </si>
  <si>
    <t>2. Amazon version may not have UL certification.</t>
  </si>
  <si>
    <t>1. Specs for current capacity of Amazon version don't match.</t>
  </si>
  <si>
    <t>ZX40C30C01-ND</t>
  </si>
  <si>
    <t>480-ZX10E30C01-ND</t>
  </si>
  <si>
    <t>NA</t>
  </si>
  <si>
    <t>480-ZX10C30C01-ND</t>
  </si>
  <si>
    <t>5. Price break for reasonable quantities.</t>
  </si>
  <si>
    <t>4. DigiKey claims it's no longer manufactured.</t>
  </si>
  <si>
    <t>Slightly Smarter</t>
  </si>
  <si>
    <t>Mechanical Parts</t>
  </si>
  <si>
    <t>PCB</t>
  </si>
  <si>
    <t>https://www.pcbway.com/orderonline.aspx</t>
  </si>
  <si>
    <t>PTC resettable fuse</t>
  </si>
  <si>
    <t>https://www.digikey.com/en/products/detail/bel-fuse-inc/0ZRC0010FF1E/1560183</t>
  </si>
  <si>
    <t>power connector</t>
  </si>
  <si>
    <t>https://www.digikey.com/en/products/detail/central-semiconductor-corp/2N3904-PBFREE/4806876</t>
  </si>
  <si>
    <t>https://www.digikey.com/en/products/detail/yageo/CFR-25JB-52-330R/1636</t>
  </si>
  <si>
    <t>ZX-series microswitch</t>
  </si>
  <si>
    <t>https://www.digikey.com/en/products/detail/honeywell-sensing-and-productivity-solutions/ZX40E30C01/2748598</t>
  </si>
  <si>
    <t>https://www.digikey.com/en/products/detail/diotec-semiconductor/1N4001/13164614</t>
  </si>
  <si>
    <t>HC-SR312 mini PIR</t>
  </si>
  <si>
    <t>https://www.amazon.com/dp/B08PVB7VHQ/</t>
  </si>
  <si>
    <t>Slightly Smarter Upgrade</t>
  </si>
  <si>
    <t>https://www.amazon.com/gp/product/B0CTQ36QMW/</t>
  </si>
  <si>
    <t>https://www.amazon.com/dp/B0CMGK8MV9/</t>
  </si>
  <si>
    <t>https://www.amazon.com/dp/B0CZQMZDM8/</t>
  </si>
  <si>
    <t>https://www.amazon.com/gp/product/B08KZPHDPY/</t>
  </si>
  <si>
    <t>fishing wire for hanging</t>
  </si>
  <si>
    <t>Stupidly Simple Spider Dropper Parts</t>
  </si>
  <si>
    <t>https://www.amazon.com/dp/B0768V9V5Q/</t>
  </si>
  <si>
    <t>3-pin JST XH wire-to-board</t>
  </si>
  <si>
    <t>IRLZ34NPBF</t>
  </si>
  <si>
    <t>https://www.digikey.com/en/products/detail/jst-sales-america-inc/B3B-XH-A/1651046</t>
  </si>
  <si>
    <t>https://www.digikey.com/en/products/detail/same-sky-formerly-cui-devices/PJ-044AH/1644569</t>
  </si>
  <si>
    <t>1N4001 diode (or 1N4148)</t>
  </si>
  <si>
    <t>resistor</t>
  </si>
  <si>
    <t>https://www.amazon.com/dp/B0CL9MGC82/</t>
  </si>
  <si>
    <t>JST XH female pins</t>
  </si>
  <si>
    <t>3-conductor jacketed cable</t>
  </si>
  <si>
    <t>PG7 cable glands</t>
  </si>
  <si>
    <t>https://www.amazon.com/ARTGEAR-Waterproof-Adjustable-Connector-Protector/dp/B07JH2LPZF/</t>
  </si>
  <si>
    <t>JST XH 3-pin housing</t>
  </si>
  <si>
    <t>2-pin JST XH pigtails w/connector</t>
  </si>
  <si>
    <t>4" zip ties</t>
  </si>
  <si>
    <t>8" zip ties</t>
  </si>
  <si>
    <t>• Printed Solid shipping is free if order is at least $50.</t>
  </si>
  <si>
    <t>• MonsterGuts shipping estimated based on commercial USPS Priority Mail Flat Rate.</t>
  </si>
  <si>
    <t>• DigiKey shipping is unpredictable and simply omitted.</t>
  </si>
  <si>
    <t>• Amazon shipping is free with Prime.</t>
  </si>
  <si>
    <t>• In bulk, cable ties are essentially free. Sunk cost on heat-shrink tubing, solder, hot glue.</t>
  </si>
  <si>
    <t>credit for unneeded pigtail from DC Option</t>
  </si>
  <si>
    <t>• The DC version (including the Slightly Smarter upgrade) also requires a 12VDC power supply.</t>
  </si>
  <si>
    <t>DC power pigtail</t>
  </si>
  <si>
    <t>M3Sx4.0mm heat-set inserts</t>
  </si>
  <si>
    <t>M3 square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</si>
</sst>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8" fontId="0" fillId="0" borderId="0" xfId="0" applyNumberFormat="1"/>
    <xf numFmtId="0" fontId="1" fillId="0" borderId="0" xfId="0" applyFont="1"/>
    <xf numFmtId="0" fontId="1" fillId="0" borderId="1" xfId="1"/>
    <xf numFmtId="8" fontId="1" fillId="0" borderId="1" xfId="1" applyNumberFormat="1"/>
    <xf numFmtId="0" fontId="2" fillId="0" borderId="0" xfId="2"/>
    <xf numFmtId="20" fontId="0" fillId="0" borderId="0" xfId="0" applyNumberFormat="1"/>
    <xf numFmtId="0" fontId="1" fillId="0" borderId="0" xfId="0" applyFont="1" applyAlignment="1">
      <alignment horizontal="center"/>
    </xf>
    <xf numFmtId="0" fontId="1" fillId="0" borderId="2" xfId="1" applyBorder="1"/>
    <xf numFmtId="8" fontId="1" fillId="0" borderId="2" xfId="1" applyNumberFormat="1" applyBorder="1"/>
  </cellXfs>
  <cellStyles count="3">
    <cellStyle name="Hyperlink" xfId="2" builtinId="8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gp/product/B0CTQ36QMW/" TargetMode="External"/><Relationship Id="rId3" Type="http://schemas.openxmlformats.org/officeDocument/2006/relationships/hyperlink" Target="https://www.amazon.com/gp/product/B0CTQ36QMW/" TargetMode="External"/><Relationship Id="rId7" Type="http://schemas.openxmlformats.org/officeDocument/2006/relationships/hyperlink" Target="https://www.amazon.com/dp/B0768V9V5Q/" TargetMode="External"/><Relationship Id="rId2" Type="http://schemas.openxmlformats.org/officeDocument/2006/relationships/hyperlink" Target="https://www.digikey.com/en/products/detail/bel-fuse-inc/0ZRC0010FF1E/1560183" TargetMode="External"/><Relationship Id="rId1" Type="http://schemas.openxmlformats.org/officeDocument/2006/relationships/hyperlink" Target="https://www.amazon.com/dp/B08PVB7VHQ/" TargetMode="External"/><Relationship Id="rId6" Type="http://schemas.openxmlformats.org/officeDocument/2006/relationships/hyperlink" Target="https://www.amazon.com/dp/B0CZQMZDM8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amazon.com/gp/product/B0CTQ36QMW/" TargetMode="External"/><Relationship Id="rId10" Type="http://schemas.openxmlformats.org/officeDocument/2006/relationships/hyperlink" Target="https://www.amazon.com/ARTGEAR-Waterproof-Adjustable-Connector-Protector/dp/B07JH2LPZF/" TargetMode="External"/><Relationship Id="rId4" Type="http://schemas.openxmlformats.org/officeDocument/2006/relationships/hyperlink" Target="https://www.amazon.com/dp/B0CMGK8MV9/" TargetMode="External"/><Relationship Id="rId9" Type="http://schemas.openxmlformats.org/officeDocument/2006/relationships/hyperlink" Target="https://www.amazon.com/dp/B0CL9MGC8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792C-E920-409F-B110-1A72354C03E4}">
  <sheetPr>
    <pageSetUpPr fitToPage="1"/>
  </sheetPr>
  <dimension ref="A1:P55"/>
  <sheetViews>
    <sheetView tabSelected="1" workbookViewId="0">
      <selection activeCell="A39" sqref="A39"/>
    </sheetView>
  </sheetViews>
  <sheetFormatPr defaultRowHeight="14.6" x14ac:dyDescent="0.4"/>
  <cols>
    <col min="1" max="1" width="28.3828125" customWidth="1"/>
    <col min="4" max="4" width="7.61328125" customWidth="1"/>
    <col min="5" max="5" width="8.4609375" customWidth="1"/>
    <col min="9" max="9" width="8.07421875" customWidth="1"/>
    <col min="11" max="11" width="2.921875" customWidth="1"/>
    <col min="12" max="12" width="10.69140625" customWidth="1"/>
    <col min="13" max="13" width="10.3828125" customWidth="1"/>
    <col min="14" max="14" width="14.15234375" customWidth="1"/>
    <col min="15" max="15" width="51.69140625" customWidth="1"/>
  </cols>
  <sheetData>
    <row r="1" spans="1:15" x14ac:dyDescent="0.4">
      <c r="A1" s="2" t="s">
        <v>80</v>
      </c>
    </row>
    <row r="3" spans="1:15" x14ac:dyDescent="0.4">
      <c r="A3" s="2" t="s">
        <v>61</v>
      </c>
      <c r="B3" s="7" t="s">
        <v>0</v>
      </c>
      <c r="C3" s="7" t="s">
        <v>24</v>
      </c>
      <c r="D3" s="7" t="s">
        <v>27</v>
      </c>
      <c r="E3" s="7" t="s">
        <v>25</v>
      </c>
      <c r="F3" s="7" t="s">
        <v>17</v>
      </c>
      <c r="G3" s="7" t="s">
        <v>23</v>
      </c>
      <c r="H3" s="7" t="s">
        <v>1</v>
      </c>
      <c r="I3" s="7" t="s">
        <v>2</v>
      </c>
      <c r="J3" s="7" t="s">
        <v>3</v>
      </c>
      <c r="L3" s="7" t="s">
        <v>14</v>
      </c>
      <c r="M3" s="7" t="s">
        <v>13</v>
      </c>
      <c r="N3" s="7" t="s">
        <v>60</v>
      </c>
    </row>
    <row r="4" spans="1:15" x14ac:dyDescent="0.4">
      <c r="A4" t="s">
        <v>20</v>
      </c>
      <c r="B4" s="1">
        <v>6.99</v>
      </c>
      <c r="C4">
        <v>8</v>
      </c>
      <c r="D4" t="s">
        <v>28</v>
      </c>
      <c r="E4" s="1">
        <f>B4*0.1075</f>
        <v>0.75142500000000001</v>
      </c>
      <c r="F4" s="1"/>
      <c r="G4" s="1">
        <f>B4+E4+F4</f>
        <v>7.7414250000000004</v>
      </c>
      <c r="H4" s="1">
        <f>IF(C4&gt;0, G4/C4, 0)</f>
        <v>0.96767812500000006</v>
      </c>
      <c r="I4">
        <v>1</v>
      </c>
      <c r="J4" s="1">
        <f>H4*I4</f>
        <v>0.96767812500000006</v>
      </c>
      <c r="O4" t="s">
        <v>6</v>
      </c>
    </row>
    <row r="5" spans="1:15" x14ac:dyDescent="0.4">
      <c r="A5" t="s">
        <v>21</v>
      </c>
      <c r="B5" s="1">
        <v>22.79</v>
      </c>
      <c r="C5">
        <v>100</v>
      </c>
      <c r="D5" t="s">
        <v>28</v>
      </c>
      <c r="E5" s="1">
        <f t="shared" ref="E5:E9" si="0">B5*0.1075</f>
        <v>2.4499249999999999</v>
      </c>
      <c r="F5" s="1"/>
      <c r="G5" s="1">
        <f t="shared" ref="G5:G9" si="1">B5+E5+F5</f>
        <v>25.239924999999999</v>
      </c>
      <c r="H5" s="1">
        <f t="shared" ref="H5:H9" si="2">IF(C5&gt;0, G5/C5, 0)</f>
        <v>0.25239925000000002</v>
      </c>
      <c r="I5">
        <v>2</v>
      </c>
      <c r="J5" s="1">
        <f>H5*I5</f>
        <v>0.50479850000000004</v>
      </c>
      <c r="O5" t="s">
        <v>7</v>
      </c>
    </row>
    <row r="6" spans="1:15" x14ac:dyDescent="0.4">
      <c r="A6" t="s">
        <v>79</v>
      </c>
      <c r="B6" s="1">
        <v>5.99</v>
      </c>
      <c r="C6">
        <v>656</v>
      </c>
      <c r="D6" t="s">
        <v>29</v>
      </c>
      <c r="E6" s="1">
        <f t="shared" si="0"/>
        <v>0.64392499999999997</v>
      </c>
      <c r="F6" s="1"/>
      <c r="G6" s="1">
        <f t="shared" si="1"/>
        <v>6.6339250000000005</v>
      </c>
      <c r="H6" s="1">
        <f t="shared" si="2"/>
        <v>1.0112690548780489E-2</v>
      </c>
      <c r="I6">
        <v>5</v>
      </c>
      <c r="J6" s="1">
        <f>H6*I6</f>
        <v>5.0563452743902441E-2</v>
      </c>
      <c r="O6" t="s">
        <v>78</v>
      </c>
    </row>
    <row r="7" spans="1:15" x14ac:dyDescent="0.4">
      <c r="A7" t="s">
        <v>95</v>
      </c>
      <c r="D7" t="s">
        <v>28</v>
      </c>
      <c r="E7" s="1">
        <f t="shared" si="0"/>
        <v>0</v>
      </c>
      <c r="F7" s="1"/>
      <c r="G7" s="1">
        <f t="shared" si="1"/>
        <v>0</v>
      </c>
      <c r="H7" s="1">
        <f t="shared" si="2"/>
        <v>0</v>
      </c>
      <c r="I7">
        <v>2</v>
      </c>
      <c r="J7" s="1">
        <f>H7*I7</f>
        <v>0</v>
      </c>
    </row>
    <row r="8" spans="1:15" x14ac:dyDescent="0.4">
      <c r="A8" t="s">
        <v>96</v>
      </c>
      <c r="D8" t="s">
        <v>28</v>
      </c>
      <c r="E8" s="1">
        <f t="shared" ref="E8" si="3">B8*0.1075</f>
        <v>0</v>
      </c>
      <c r="F8" s="1"/>
      <c r="G8" s="1">
        <f t="shared" ref="G8" si="4">B8+E8+F8</f>
        <v>0</v>
      </c>
      <c r="H8" s="1">
        <f t="shared" ref="H8" si="5">IF(C8&gt;0, G8/C8, 0)</f>
        <v>0</v>
      </c>
      <c r="I8">
        <v>2</v>
      </c>
      <c r="J8" s="1">
        <f>H8*I8</f>
        <v>0</v>
      </c>
    </row>
    <row r="9" spans="1:15" x14ac:dyDescent="0.4">
      <c r="A9" t="s">
        <v>19</v>
      </c>
      <c r="B9" s="1">
        <f>2*35.99</f>
        <v>71.98</v>
      </c>
      <c r="C9">
        <v>2000</v>
      </c>
      <c r="D9" t="s">
        <v>30</v>
      </c>
      <c r="E9" s="1">
        <f t="shared" si="0"/>
        <v>7.7378499999999999</v>
      </c>
      <c r="F9" s="1"/>
      <c r="G9" s="1">
        <f t="shared" si="1"/>
        <v>79.717849999999999</v>
      </c>
      <c r="H9" s="1">
        <f t="shared" si="2"/>
        <v>3.9858924999999996E-2</v>
      </c>
      <c r="I9">
        <v>105</v>
      </c>
      <c r="J9" s="1">
        <f t="shared" ref="J9" si="6">H9*I9</f>
        <v>4.1851871249999997</v>
      </c>
      <c r="O9" t="s">
        <v>26</v>
      </c>
    </row>
    <row r="10" spans="1:15" ht="15" thickBot="1" x14ac:dyDescent="0.45">
      <c r="A10" s="3" t="s">
        <v>16</v>
      </c>
      <c r="B10" s="3"/>
      <c r="C10" s="3"/>
      <c r="D10" s="3"/>
      <c r="E10" s="3"/>
      <c r="F10" s="3"/>
      <c r="G10" s="3"/>
      <c r="H10" s="3"/>
      <c r="I10" s="3"/>
      <c r="J10" s="4">
        <f>SUM(J4:J9)</f>
        <v>5.7082272027439025</v>
      </c>
      <c r="L10" s="1">
        <f>J10</f>
        <v>5.7082272027439025</v>
      </c>
      <c r="M10" s="1">
        <f>J10</f>
        <v>5.7082272027439025</v>
      </c>
      <c r="N10" s="1">
        <f>J10</f>
        <v>5.7082272027439025</v>
      </c>
    </row>
    <row r="11" spans="1:15" ht="15" thickTop="1" x14ac:dyDescent="0.4"/>
    <row r="12" spans="1:15" x14ac:dyDescent="0.4">
      <c r="A12" s="2" t="s">
        <v>14</v>
      </c>
      <c r="B12" s="7" t="s">
        <v>0</v>
      </c>
      <c r="C12" s="7" t="s">
        <v>24</v>
      </c>
      <c r="D12" s="7" t="s">
        <v>27</v>
      </c>
      <c r="E12" s="7" t="s">
        <v>25</v>
      </c>
      <c r="F12" s="7" t="s">
        <v>17</v>
      </c>
      <c r="G12" s="7" t="s">
        <v>23</v>
      </c>
      <c r="H12" s="7" t="s">
        <v>1</v>
      </c>
      <c r="I12" s="7" t="s">
        <v>2</v>
      </c>
      <c r="J12" s="7" t="s">
        <v>3</v>
      </c>
    </row>
    <row r="13" spans="1:15" x14ac:dyDescent="0.4">
      <c r="A13" t="s">
        <v>22</v>
      </c>
      <c r="B13" s="1">
        <v>18.95</v>
      </c>
      <c r="C13">
        <v>1</v>
      </c>
      <c r="D13" t="s">
        <v>28</v>
      </c>
      <c r="E13" s="1">
        <f t="shared" ref="E13:E16" si="7">B13*0.1075</f>
        <v>2.0371250000000001</v>
      </c>
      <c r="F13" s="1">
        <v>9.5500000000000007</v>
      </c>
      <c r="G13" s="1">
        <f>B13+E13+F13</f>
        <v>30.537125</v>
      </c>
      <c r="H13" s="1">
        <f>IF(C13&gt;0, G13/C13, 0)</f>
        <v>30.537125</v>
      </c>
      <c r="I13">
        <v>1</v>
      </c>
      <c r="J13" s="1">
        <f>H13*I13</f>
        <v>30.537125</v>
      </c>
      <c r="O13" t="s">
        <v>9</v>
      </c>
    </row>
    <row r="14" spans="1:15" x14ac:dyDescent="0.4">
      <c r="A14" t="s">
        <v>11</v>
      </c>
      <c r="B14" s="1">
        <v>7.98</v>
      </c>
      <c r="C14">
        <v>100</v>
      </c>
      <c r="D14" t="s">
        <v>28</v>
      </c>
      <c r="E14" s="1">
        <f t="shared" si="7"/>
        <v>0.85785</v>
      </c>
      <c r="F14" s="1"/>
      <c r="G14" s="1">
        <f t="shared" ref="G14:G15" si="8">B14+E14+F14</f>
        <v>8.8378499999999995</v>
      </c>
      <c r="H14" s="1">
        <f>IF(C14&gt;0, G14/C14, 0)</f>
        <v>8.8378499999999999E-2</v>
      </c>
      <c r="I14">
        <v>4</v>
      </c>
      <c r="J14" s="1">
        <f>H14*I14</f>
        <v>0.35351399999999999</v>
      </c>
      <c r="O14" t="s">
        <v>10</v>
      </c>
    </row>
    <row r="15" spans="1:15" x14ac:dyDescent="0.4">
      <c r="A15" t="s">
        <v>12</v>
      </c>
      <c r="B15" s="1">
        <v>5.99</v>
      </c>
      <c r="C15">
        <v>50</v>
      </c>
      <c r="D15" t="s">
        <v>28</v>
      </c>
      <c r="E15" s="1">
        <f t="shared" si="7"/>
        <v>0.64392499999999997</v>
      </c>
      <c r="F15" s="1"/>
      <c r="G15" s="1">
        <f t="shared" si="8"/>
        <v>6.6339250000000005</v>
      </c>
      <c r="H15" s="1">
        <f t="shared" ref="H15" si="9">IF(C15&gt;0, G15/C15, 0)</f>
        <v>0.1326785</v>
      </c>
      <c r="I15">
        <v>2</v>
      </c>
      <c r="J15" s="1">
        <f>H15*I15</f>
        <v>0.26535700000000001</v>
      </c>
      <c r="O15" s="5" t="s">
        <v>75</v>
      </c>
    </row>
    <row r="16" spans="1:15" x14ac:dyDescent="0.4">
      <c r="A16" t="s">
        <v>105</v>
      </c>
      <c r="B16" s="1">
        <v>9.99</v>
      </c>
      <c r="C16">
        <v>100</v>
      </c>
      <c r="D16" t="s">
        <v>28</v>
      </c>
      <c r="E16" s="1">
        <f t="shared" si="7"/>
        <v>1.073925</v>
      </c>
      <c r="F16" s="1"/>
      <c r="G16" s="1">
        <f t="shared" ref="G16" si="10">B16+E16+F16</f>
        <v>11.063925000000001</v>
      </c>
      <c r="H16" s="1">
        <f t="shared" ref="H16" si="11">IF(C16&gt;0, G16/C16, 0)</f>
        <v>0.11063925000000001</v>
      </c>
      <c r="I16">
        <v>2</v>
      </c>
      <c r="J16" s="1">
        <f>H16*I16</f>
        <v>0.22127850000000002</v>
      </c>
      <c r="O16" s="5"/>
    </row>
    <row r="17" spans="1:16" ht="15" thickBot="1" x14ac:dyDescent="0.45">
      <c r="A17" s="3" t="s">
        <v>16</v>
      </c>
      <c r="B17" s="3"/>
      <c r="C17" s="3"/>
      <c r="D17" s="3"/>
      <c r="E17" s="3"/>
      <c r="F17" s="3"/>
      <c r="G17" s="3"/>
      <c r="H17" s="3"/>
      <c r="I17" s="3"/>
      <c r="J17" s="4">
        <f>SUM(J13:J16)</f>
        <v>31.377274500000002</v>
      </c>
      <c r="L17" s="1">
        <f>J17</f>
        <v>31.377274500000002</v>
      </c>
    </row>
    <row r="18" spans="1:16" ht="15" thickTop="1" x14ac:dyDescent="0.4">
      <c r="A18" s="8"/>
      <c r="B18" s="8"/>
      <c r="C18" s="8"/>
      <c r="D18" s="8"/>
      <c r="E18" s="8"/>
      <c r="F18" s="8"/>
      <c r="G18" s="8"/>
      <c r="H18" s="8"/>
      <c r="I18" s="8"/>
      <c r="J18" s="9"/>
      <c r="L18" s="1"/>
    </row>
    <row r="19" spans="1:16" x14ac:dyDescent="0.4">
      <c r="A19" s="2" t="s">
        <v>13</v>
      </c>
      <c r="B19" s="7" t="s">
        <v>0</v>
      </c>
      <c r="C19" s="7" t="s">
        <v>24</v>
      </c>
      <c r="D19" s="7" t="s">
        <v>27</v>
      </c>
      <c r="E19" s="7" t="s">
        <v>25</v>
      </c>
      <c r="F19" s="7" t="s">
        <v>17</v>
      </c>
      <c r="G19" s="7" t="s">
        <v>23</v>
      </c>
      <c r="H19" s="7" t="s">
        <v>1</v>
      </c>
      <c r="I19" s="7" t="s">
        <v>2</v>
      </c>
      <c r="J19" s="7" t="s">
        <v>3</v>
      </c>
    </row>
    <row r="20" spans="1:16" x14ac:dyDescent="0.4">
      <c r="A20" t="s">
        <v>4</v>
      </c>
      <c r="B20" s="1">
        <v>9.99</v>
      </c>
      <c r="C20">
        <v>1</v>
      </c>
      <c r="D20" t="s">
        <v>28</v>
      </c>
      <c r="E20" s="1">
        <f t="shared" ref="E20:E23" si="12">B20*0.1075</f>
        <v>1.073925</v>
      </c>
      <c r="F20" s="1"/>
      <c r="G20" s="1">
        <f t="shared" ref="G20:G23" si="13">B20+E20+F20</f>
        <v>11.063925000000001</v>
      </c>
      <c r="H20" s="1">
        <f t="shared" ref="H20:H23" si="14">IF(C20&gt;0, G20/C20, 0)</f>
        <v>11.063925000000001</v>
      </c>
      <c r="I20">
        <v>1</v>
      </c>
      <c r="J20" s="1">
        <f>H20*I20</f>
        <v>11.063925000000001</v>
      </c>
      <c r="O20" s="5" t="s">
        <v>77</v>
      </c>
      <c r="P20" t="s">
        <v>5</v>
      </c>
    </row>
    <row r="21" spans="1:16" x14ac:dyDescent="0.4">
      <c r="A21" t="s">
        <v>104</v>
      </c>
      <c r="B21" s="1">
        <v>9.89</v>
      </c>
      <c r="C21">
        <v>10</v>
      </c>
      <c r="D21" t="s">
        <v>28</v>
      </c>
      <c r="E21" s="1">
        <f t="shared" si="12"/>
        <v>1.063175</v>
      </c>
      <c r="F21" s="1"/>
      <c r="G21" s="1">
        <f t="shared" si="13"/>
        <v>10.953175</v>
      </c>
      <c r="H21" s="1">
        <f t="shared" si="14"/>
        <v>1.0953174999999999</v>
      </c>
      <c r="I21">
        <v>1</v>
      </c>
      <c r="J21" s="1">
        <f>H21*I21</f>
        <v>1.0953174999999999</v>
      </c>
      <c r="O21" t="s">
        <v>8</v>
      </c>
      <c r="P21" s="5" t="s">
        <v>81</v>
      </c>
    </row>
    <row r="22" spans="1:16" x14ac:dyDescent="0.4">
      <c r="A22" t="s">
        <v>12</v>
      </c>
      <c r="B22" s="1">
        <v>5.99</v>
      </c>
      <c r="C22">
        <v>50</v>
      </c>
      <c r="D22" t="s">
        <v>28</v>
      </c>
      <c r="E22" s="1">
        <f t="shared" si="12"/>
        <v>0.64392499999999997</v>
      </c>
      <c r="F22" s="1"/>
      <c r="G22" s="1">
        <f t="shared" si="13"/>
        <v>6.6339250000000005</v>
      </c>
      <c r="H22" s="1">
        <f t="shared" si="14"/>
        <v>0.1326785</v>
      </c>
      <c r="I22">
        <v>1</v>
      </c>
      <c r="J22" s="1">
        <f>H22*I22</f>
        <v>0.1326785</v>
      </c>
      <c r="O22" s="5" t="s">
        <v>75</v>
      </c>
    </row>
    <row r="23" spans="1:16" x14ac:dyDescent="0.4">
      <c r="A23" t="s">
        <v>105</v>
      </c>
      <c r="B23" s="1">
        <v>9.99</v>
      </c>
      <c r="C23">
        <v>100</v>
      </c>
      <c r="D23" t="s">
        <v>28</v>
      </c>
      <c r="E23" s="1">
        <f t="shared" si="12"/>
        <v>1.073925</v>
      </c>
      <c r="F23" s="1"/>
      <c r="G23" s="1">
        <f t="shared" si="13"/>
        <v>11.063925000000001</v>
      </c>
      <c r="H23" s="1">
        <f t="shared" si="14"/>
        <v>0.11063925000000001</v>
      </c>
      <c r="I23">
        <v>1</v>
      </c>
      <c r="J23" s="1">
        <f>H23*I23</f>
        <v>0.11063925000000001</v>
      </c>
      <c r="O23" s="5"/>
    </row>
    <row r="24" spans="1:16" ht="15" thickBot="1" x14ac:dyDescent="0.45">
      <c r="A24" s="3" t="s">
        <v>16</v>
      </c>
      <c r="B24" s="3"/>
      <c r="C24" s="3"/>
      <c r="D24" s="3"/>
      <c r="E24" s="3"/>
      <c r="F24" s="3"/>
      <c r="G24" s="3"/>
      <c r="H24" s="3"/>
      <c r="I24" s="3"/>
      <c r="J24" s="4">
        <f>SUM(J20:J23)</f>
        <v>12.402560250000002</v>
      </c>
      <c r="M24" s="1">
        <f>J24</f>
        <v>12.402560250000002</v>
      </c>
      <c r="N24" s="1">
        <f>J24</f>
        <v>12.402560250000002</v>
      </c>
    </row>
    <row r="25" spans="1:16" ht="15" thickTop="1" x14ac:dyDescent="0.4">
      <c r="A25" s="8"/>
      <c r="B25" s="8"/>
      <c r="C25" s="8"/>
      <c r="D25" s="8"/>
      <c r="E25" s="8"/>
      <c r="F25" s="8"/>
      <c r="G25" s="8"/>
      <c r="H25" s="8"/>
      <c r="I25" s="8"/>
      <c r="J25" s="9"/>
    </row>
    <row r="26" spans="1:16" x14ac:dyDescent="0.4">
      <c r="A26" s="2" t="s">
        <v>74</v>
      </c>
      <c r="B26" s="7" t="s">
        <v>0</v>
      </c>
      <c r="C26" s="7" t="s">
        <v>24</v>
      </c>
      <c r="D26" s="7" t="s">
        <v>27</v>
      </c>
      <c r="E26" s="7" t="s">
        <v>25</v>
      </c>
      <c r="F26" s="7" t="s">
        <v>17</v>
      </c>
      <c r="G26" s="7" t="s">
        <v>23</v>
      </c>
      <c r="H26" s="7" t="s">
        <v>1</v>
      </c>
      <c r="I26" s="7" t="s">
        <v>2</v>
      </c>
      <c r="J26" s="7" t="s">
        <v>3</v>
      </c>
    </row>
    <row r="27" spans="1:16" x14ac:dyDescent="0.4">
      <c r="A27" t="s">
        <v>62</v>
      </c>
      <c r="B27" s="1">
        <v>5</v>
      </c>
      <c r="C27">
        <v>5</v>
      </c>
      <c r="D27" t="s">
        <v>28</v>
      </c>
      <c r="E27" s="1"/>
      <c r="F27" s="1">
        <v>19.98</v>
      </c>
      <c r="G27" s="1">
        <f t="shared" ref="G27:G31" si="15">B27+E27+F27</f>
        <v>24.98</v>
      </c>
      <c r="H27" s="1">
        <f t="shared" ref="H27:H31" si="16">IF(C27&gt;0, G27/C27, 0)</f>
        <v>4.9960000000000004</v>
      </c>
      <c r="I27">
        <v>1</v>
      </c>
      <c r="J27" s="1">
        <f t="shared" ref="J27:J37" si="17">H27*I27</f>
        <v>4.9960000000000004</v>
      </c>
      <c r="O27" t="s">
        <v>63</v>
      </c>
    </row>
    <row r="28" spans="1:16" x14ac:dyDescent="0.4">
      <c r="A28" t="s">
        <v>72</v>
      </c>
      <c r="B28" s="1">
        <v>17.989999999999998</v>
      </c>
      <c r="C28">
        <v>10</v>
      </c>
      <c r="D28" t="s">
        <v>28</v>
      </c>
      <c r="E28" s="1">
        <f t="shared" ref="E28" si="18">B28*0.1075</f>
        <v>1.9339249999999999</v>
      </c>
      <c r="F28" s="1"/>
      <c r="G28" s="1">
        <f t="shared" ref="G28" si="19">B28+E28+F28</f>
        <v>19.923924999999997</v>
      </c>
      <c r="H28" s="1">
        <f t="shared" ref="H28" si="20">IF(C28&gt;0, G28/C28, 0)</f>
        <v>1.9923924999999998</v>
      </c>
      <c r="I28">
        <v>1</v>
      </c>
      <c r="J28" s="1">
        <f t="shared" si="17"/>
        <v>1.9923924999999998</v>
      </c>
      <c r="O28" s="5" t="s">
        <v>73</v>
      </c>
    </row>
    <row r="29" spans="1:16" x14ac:dyDescent="0.4">
      <c r="A29" t="s">
        <v>64</v>
      </c>
      <c r="B29" s="1">
        <v>2.72</v>
      </c>
      <c r="C29">
        <v>10</v>
      </c>
      <c r="D29" t="s">
        <v>28</v>
      </c>
      <c r="E29" s="1">
        <f t="shared" ref="E29:E31" si="21">B29*0.1075</f>
        <v>0.29239999999999999</v>
      </c>
      <c r="F29" s="1"/>
      <c r="G29" s="1">
        <f t="shared" si="15"/>
        <v>3.0124000000000004</v>
      </c>
      <c r="H29" s="1">
        <f t="shared" si="16"/>
        <v>0.30124000000000006</v>
      </c>
      <c r="I29">
        <v>1</v>
      </c>
      <c r="J29" s="1">
        <f t="shared" si="17"/>
        <v>0.30124000000000006</v>
      </c>
      <c r="O29" s="5" t="s">
        <v>65</v>
      </c>
    </row>
    <row r="30" spans="1:16" x14ac:dyDescent="0.4">
      <c r="A30" t="s">
        <v>66</v>
      </c>
      <c r="B30" s="1">
        <v>8.19</v>
      </c>
      <c r="C30">
        <v>10</v>
      </c>
      <c r="D30" t="s">
        <v>28</v>
      </c>
      <c r="E30" s="1">
        <f t="shared" si="21"/>
        <v>0.8804249999999999</v>
      </c>
      <c r="F30" s="1"/>
      <c r="G30" s="1">
        <f t="shared" si="15"/>
        <v>9.0704250000000002</v>
      </c>
      <c r="H30" s="1">
        <f t="shared" si="16"/>
        <v>0.90704249999999997</v>
      </c>
      <c r="I30">
        <v>1</v>
      </c>
      <c r="J30" s="1">
        <f t="shared" si="17"/>
        <v>0.90704249999999997</v>
      </c>
      <c r="O30" t="s">
        <v>85</v>
      </c>
    </row>
    <row r="31" spans="1:16" x14ac:dyDescent="0.4">
      <c r="A31" t="str">
        <f>A21</f>
        <v>DC power pigtail</v>
      </c>
      <c r="B31" s="1">
        <f>B21</f>
        <v>9.89</v>
      </c>
      <c r="C31">
        <f>C21</f>
        <v>10</v>
      </c>
      <c r="D31" t="str">
        <f>D21</f>
        <v>count</v>
      </c>
      <c r="E31" s="1">
        <f>E21</f>
        <v>1.063175</v>
      </c>
      <c r="F31" s="1">
        <f>F21</f>
        <v>0</v>
      </c>
      <c r="G31" s="1">
        <f>G21</f>
        <v>10.953175</v>
      </c>
      <c r="H31" s="1">
        <f>H21</f>
        <v>1.0953174999999999</v>
      </c>
      <c r="I31">
        <v>-1</v>
      </c>
      <c r="J31" s="1">
        <f>H31*I31</f>
        <v>-1.0953174999999999</v>
      </c>
      <c r="O31" t="s">
        <v>102</v>
      </c>
      <c r="P31" s="5"/>
    </row>
    <row r="32" spans="1:16" x14ac:dyDescent="0.4">
      <c r="A32" t="s">
        <v>94</v>
      </c>
      <c r="B32" s="1">
        <v>7.99</v>
      </c>
      <c r="C32">
        <v>5</v>
      </c>
      <c r="D32" t="s">
        <v>28</v>
      </c>
      <c r="E32" s="1">
        <f t="shared" ref="E32" si="22">B32*0.1075</f>
        <v>0.85892500000000005</v>
      </c>
      <c r="F32" s="1"/>
      <c r="G32" s="1">
        <f t="shared" ref="G32" si="23">B32+E32+F32</f>
        <v>8.8489249999999995</v>
      </c>
      <c r="H32" s="1">
        <f t="shared" ref="H32" si="24">IF(C32&gt;0, G32/C32, 0)</f>
        <v>1.7697849999999999</v>
      </c>
      <c r="I32">
        <v>1</v>
      </c>
      <c r="J32" s="1">
        <f t="shared" si="17"/>
        <v>1.7697849999999999</v>
      </c>
      <c r="O32" s="5" t="s">
        <v>88</v>
      </c>
    </row>
    <row r="33" spans="1:16" x14ac:dyDescent="0.4">
      <c r="A33" t="s">
        <v>82</v>
      </c>
      <c r="B33" s="1">
        <v>1.08</v>
      </c>
      <c r="C33">
        <v>10</v>
      </c>
      <c r="D33" t="s">
        <v>28</v>
      </c>
      <c r="E33" s="1">
        <f t="shared" ref="E33" si="25">B33*0.1075</f>
        <v>0.11610000000000001</v>
      </c>
      <c r="F33" s="1"/>
      <c r="G33" s="1">
        <f t="shared" ref="G33" si="26">B33+E33+F33</f>
        <v>1.1961000000000002</v>
      </c>
      <c r="H33" s="1">
        <f t="shared" ref="H33" si="27">IF(C33&gt;0, G33/C33, 0)</f>
        <v>0.11961000000000002</v>
      </c>
      <c r="I33">
        <v>1</v>
      </c>
      <c r="J33" s="1">
        <f t="shared" si="17"/>
        <v>0.11961000000000002</v>
      </c>
      <c r="O33" t="s">
        <v>84</v>
      </c>
    </row>
    <row r="34" spans="1:16" x14ac:dyDescent="0.4">
      <c r="A34" t="s">
        <v>83</v>
      </c>
      <c r="B34" s="1">
        <v>2.02</v>
      </c>
      <c r="C34">
        <v>10</v>
      </c>
      <c r="D34" t="s">
        <v>28</v>
      </c>
      <c r="E34" s="1">
        <f t="shared" ref="E34" si="28">B34*0.1075</f>
        <v>0.21715000000000001</v>
      </c>
      <c r="F34" s="1"/>
      <c r="G34" s="1">
        <f t="shared" ref="G34" si="29">B34+E34+F34</f>
        <v>2.2371500000000002</v>
      </c>
      <c r="H34" s="1">
        <f t="shared" ref="H34" si="30">IF(C34&gt;0, G34/C34, 0)</f>
        <v>0.22371500000000002</v>
      </c>
      <c r="I34">
        <v>1</v>
      </c>
      <c r="J34" s="1">
        <f t="shared" si="17"/>
        <v>0.22371500000000002</v>
      </c>
      <c r="O34" t="s">
        <v>67</v>
      </c>
    </row>
    <row r="35" spans="1:16" x14ac:dyDescent="0.4">
      <c r="A35" t="s">
        <v>87</v>
      </c>
      <c r="B35" s="1">
        <v>1.33</v>
      </c>
      <c r="C35">
        <v>50</v>
      </c>
      <c r="D35" t="s">
        <v>28</v>
      </c>
      <c r="E35" s="1">
        <f t="shared" ref="E35:E36" si="31">B35*0.1075</f>
        <v>0.14297500000000002</v>
      </c>
      <c r="F35" s="1"/>
      <c r="G35" s="1">
        <f t="shared" ref="G35:G36" si="32">B35+E35+F35</f>
        <v>1.4729750000000001</v>
      </c>
      <c r="H35" s="1">
        <f t="shared" ref="H35:H36" si="33">IF(C35&gt;0, G35/C35, 0)</f>
        <v>2.9459500000000003E-2</v>
      </c>
      <c r="I35">
        <v>1</v>
      </c>
      <c r="J35" s="1">
        <f t="shared" si="17"/>
        <v>2.9459500000000003E-2</v>
      </c>
      <c r="O35" t="s">
        <v>68</v>
      </c>
    </row>
    <row r="36" spans="1:16" x14ac:dyDescent="0.4">
      <c r="A36" t="s">
        <v>86</v>
      </c>
      <c r="B36" s="1">
        <v>0.55000000000000004</v>
      </c>
      <c r="C36">
        <v>10</v>
      </c>
      <c r="D36" t="s">
        <v>28</v>
      </c>
      <c r="E36" s="1">
        <f t="shared" si="31"/>
        <v>5.9125000000000004E-2</v>
      </c>
      <c r="F36" s="1"/>
      <c r="G36" s="1">
        <f t="shared" si="32"/>
        <v>0.60912500000000003</v>
      </c>
      <c r="H36" s="1">
        <f t="shared" si="33"/>
        <v>6.0912500000000001E-2</v>
      </c>
      <c r="I36">
        <v>1</v>
      </c>
      <c r="J36" s="1">
        <f t="shared" si="17"/>
        <v>6.0912500000000001E-2</v>
      </c>
      <c r="O36" t="s">
        <v>71</v>
      </c>
    </row>
    <row r="37" spans="1:16" x14ac:dyDescent="0.4">
      <c r="A37" t="s">
        <v>69</v>
      </c>
      <c r="B37" s="1">
        <v>4.79</v>
      </c>
      <c r="C37">
        <v>20</v>
      </c>
      <c r="D37" t="s">
        <v>28</v>
      </c>
      <c r="E37" s="1">
        <f t="shared" ref="E37:E44" si="34">B37*0.1075</f>
        <v>0.51492499999999997</v>
      </c>
      <c r="F37" s="1"/>
      <c r="G37" s="1">
        <f t="shared" ref="G37:G44" si="35">B37+E37+F37</f>
        <v>5.3049249999999999</v>
      </c>
      <c r="H37" s="1">
        <f t="shared" ref="H37:H44" si="36">IF(C37&gt;0, G37/C37, 0)</f>
        <v>0.26524625000000002</v>
      </c>
      <c r="I37">
        <v>1</v>
      </c>
      <c r="J37" s="1">
        <f t="shared" si="17"/>
        <v>0.26524625000000002</v>
      </c>
      <c r="O37" t="s">
        <v>45</v>
      </c>
      <c r="P37" t="s">
        <v>70</v>
      </c>
    </row>
    <row r="38" spans="1:16" x14ac:dyDescent="0.4">
      <c r="A38" t="s">
        <v>12</v>
      </c>
      <c r="B38" s="1">
        <v>5.99</v>
      </c>
      <c r="C38">
        <v>50</v>
      </c>
      <c r="D38" t="s">
        <v>28</v>
      </c>
      <c r="E38" s="1">
        <f t="shared" si="34"/>
        <v>0.64392499999999997</v>
      </c>
      <c r="F38" s="1"/>
      <c r="G38" s="1">
        <f t="shared" si="35"/>
        <v>6.6339250000000005</v>
      </c>
      <c r="H38" s="1">
        <f t="shared" si="36"/>
        <v>0.1326785</v>
      </c>
      <c r="I38">
        <v>1</v>
      </c>
      <c r="J38" s="1">
        <f t="shared" ref="J38:J45" si="37">H38*I38</f>
        <v>0.1326785</v>
      </c>
      <c r="O38" s="5" t="s">
        <v>75</v>
      </c>
    </row>
    <row r="39" spans="1:16" x14ac:dyDescent="0.4">
      <c r="A39" t="s">
        <v>106</v>
      </c>
      <c r="B39" s="1">
        <v>7.95</v>
      </c>
      <c r="C39">
        <v>25</v>
      </c>
      <c r="D39" t="s">
        <v>28</v>
      </c>
      <c r="E39" s="1">
        <f t="shared" si="34"/>
        <v>0.85462499999999997</v>
      </c>
      <c r="F39" s="1"/>
      <c r="G39" s="1">
        <f t="shared" si="35"/>
        <v>8.8046249999999997</v>
      </c>
      <c r="H39" s="1">
        <f t="shared" si="36"/>
        <v>0.35218499999999997</v>
      </c>
      <c r="I39">
        <v>1</v>
      </c>
      <c r="J39" s="1">
        <f t="shared" si="37"/>
        <v>0.35218499999999997</v>
      </c>
      <c r="O39" s="5" t="s">
        <v>76</v>
      </c>
    </row>
    <row r="40" spans="1:16" x14ac:dyDescent="0.4">
      <c r="A40" t="s">
        <v>89</v>
      </c>
      <c r="B40" s="1">
        <v>25.83</v>
      </c>
      <c r="C40">
        <v>500</v>
      </c>
      <c r="D40" t="s">
        <v>28</v>
      </c>
      <c r="E40" s="1">
        <f t="shared" si="34"/>
        <v>2.7767249999999999</v>
      </c>
      <c r="F40" s="1"/>
      <c r="G40" s="1">
        <f t="shared" si="35"/>
        <v>28.606724999999997</v>
      </c>
      <c r="H40" s="1">
        <f t="shared" si="36"/>
        <v>5.7213449999999992E-2</v>
      </c>
      <c r="I40">
        <v>3</v>
      </c>
      <c r="J40" s="1">
        <f t="shared" si="37"/>
        <v>0.17164034999999997</v>
      </c>
      <c r="O40" s="5"/>
    </row>
    <row r="41" spans="1:16" x14ac:dyDescent="0.4">
      <c r="A41" t="s">
        <v>93</v>
      </c>
      <c r="B41" s="1">
        <v>0.65</v>
      </c>
      <c r="C41">
        <v>10</v>
      </c>
      <c r="D41" t="s">
        <v>28</v>
      </c>
      <c r="E41" s="1">
        <f t="shared" si="34"/>
        <v>6.9875000000000007E-2</v>
      </c>
      <c r="F41" s="1"/>
      <c r="G41" s="1">
        <f t="shared" si="35"/>
        <v>0.71987500000000004</v>
      </c>
      <c r="H41" s="1">
        <f t="shared" si="36"/>
        <v>7.198750000000001E-2</v>
      </c>
      <c r="I41">
        <v>1</v>
      </c>
      <c r="J41" s="1">
        <f t="shared" si="37"/>
        <v>7.198750000000001E-2</v>
      </c>
      <c r="O41" s="5"/>
    </row>
    <row r="42" spans="1:16" x14ac:dyDescent="0.4">
      <c r="A42" t="s">
        <v>90</v>
      </c>
      <c r="B42" s="1">
        <v>29.98</v>
      </c>
      <c r="C42">
        <v>100</v>
      </c>
      <c r="D42" t="s">
        <v>29</v>
      </c>
      <c r="E42" s="1">
        <f t="shared" si="34"/>
        <v>3.2228500000000002</v>
      </c>
      <c r="F42" s="1"/>
      <c r="G42" s="1">
        <f t="shared" si="35"/>
        <v>33.202849999999998</v>
      </c>
      <c r="H42" s="1">
        <f t="shared" si="36"/>
        <v>0.3320285</v>
      </c>
      <c r="I42">
        <v>4</v>
      </c>
      <c r="J42" s="1">
        <f t="shared" si="37"/>
        <v>1.328114</v>
      </c>
      <c r="O42" s="5"/>
    </row>
    <row r="43" spans="1:16" x14ac:dyDescent="0.4">
      <c r="A43" t="s">
        <v>95</v>
      </c>
      <c r="D43" t="s">
        <v>28</v>
      </c>
      <c r="E43" s="1">
        <f t="shared" si="34"/>
        <v>0</v>
      </c>
      <c r="F43" s="1"/>
      <c r="G43" s="1">
        <f t="shared" si="35"/>
        <v>0</v>
      </c>
      <c r="H43" s="1">
        <f t="shared" si="36"/>
        <v>0</v>
      </c>
      <c r="I43">
        <v>2</v>
      </c>
      <c r="J43" s="1">
        <f>H43*I43</f>
        <v>0</v>
      </c>
    </row>
    <row r="44" spans="1:16" x14ac:dyDescent="0.4">
      <c r="A44" t="s">
        <v>96</v>
      </c>
      <c r="D44" t="s">
        <v>28</v>
      </c>
      <c r="E44" s="1">
        <f t="shared" si="34"/>
        <v>0</v>
      </c>
      <c r="F44" s="1"/>
      <c r="G44" s="1">
        <f t="shared" si="35"/>
        <v>0</v>
      </c>
      <c r="H44" s="1">
        <f t="shared" si="36"/>
        <v>0</v>
      </c>
      <c r="I44">
        <v>2</v>
      </c>
      <c r="J44" s="1">
        <f>H44*I44</f>
        <v>0</v>
      </c>
    </row>
    <row r="45" spans="1:16" x14ac:dyDescent="0.4">
      <c r="A45" t="s">
        <v>91</v>
      </c>
      <c r="B45" s="1">
        <v>8.99</v>
      </c>
      <c r="C45">
        <v>50</v>
      </c>
      <c r="D45" t="s">
        <v>28</v>
      </c>
      <c r="E45" s="1">
        <f t="shared" ref="E45" si="38">B45*0.1075</f>
        <v>0.96642499999999998</v>
      </c>
      <c r="F45" s="1"/>
      <c r="G45" s="1">
        <f t="shared" ref="G45" si="39">B45+E45+F45</f>
        <v>9.9564249999999994</v>
      </c>
      <c r="H45" s="1">
        <f t="shared" ref="H45" si="40">IF(C45&gt;0, G45/C45, 0)</f>
        <v>0.19912849999999999</v>
      </c>
      <c r="I45">
        <v>1</v>
      </c>
      <c r="J45" s="1">
        <f t="shared" si="37"/>
        <v>0.19912849999999999</v>
      </c>
      <c r="O45" s="5" t="s">
        <v>92</v>
      </c>
    </row>
    <row r="46" spans="1:16" ht="15" thickBot="1" x14ac:dyDescent="0.45">
      <c r="A46" s="3" t="s">
        <v>16</v>
      </c>
      <c r="B46" s="3"/>
      <c r="C46" s="3"/>
      <c r="D46" s="3"/>
      <c r="E46" s="3"/>
      <c r="F46" s="3"/>
      <c r="G46" s="3"/>
      <c r="H46" s="3"/>
      <c r="I46" s="3"/>
      <c r="J46" s="4">
        <f>SUM(J27:J45)</f>
        <v>11.825819600000003</v>
      </c>
      <c r="M46" s="1"/>
      <c r="N46" s="1">
        <f>J46</f>
        <v>11.825819600000003</v>
      </c>
    </row>
    <row r="47" spans="1:16" ht="15" thickTop="1" x14ac:dyDescent="0.4">
      <c r="B47" s="1"/>
      <c r="E47" s="1"/>
      <c r="F47" s="1"/>
      <c r="G47" s="1"/>
      <c r="H47" s="1"/>
      <c r="J47" s="1"/>
      <c r="L47" s="7" t="s">
        <v>14</v>
      </c>
      <c r="M47" s="7" t="s">
        <v>13</v>
      </c>
      <c r="N47" s="7" t="s">
        <v>60</v>
      </c>
    </row>
    <row r="48" spans="1:16" ht="15" thickBot="1" x14ac:dyDescent="0.45">
      <c r="B48" s="4" t="s">
        <v>15</v>
      </c>
      <c r="C48" s="3"/>
      <c r="D48" s="3"/>
      <c r="E48" s="4"/>
      <c r="F48" s="4"/>
      <c r="G48" s="4"/>
      <c r="H48" s="4"/>
      <c r="I48" s="3"/>
      <c r="J48" s="4"/>
      <c r="K48" s="3"/>
      <c r="L48" s="4">
        <f>SUM(L3:L47)</f>
        <v>37.085501702743905</v>
      </c>
      <c r="M48" s="4">
        <f>SUM(M3:M47)</f>
        <v>18.110787452743907</v>
      </c>
      <c r="N48" s="4">
        <f>SUM(N3:N47)</f>
        <v>29.936607052743909</v>
      </c>
    </row>
    <row r="49" spans="1:10" ht="15" thickTop="1" x14ac:dyDescent="0.4">
      <c r="B49" s="1"/>
      <c r="E49" s="1"/>
      <c r="F49" s="1"/>
      <c r="G49" s="1"/>
      <c r="H49" s="1"/>
      <c r="J49" s="1"/>
    </row>
    <row r="50" spans="1:10" x14ac:dyDescent="0.4">
      <c r="A50" t="s">
        <v>97</v>
      </c>
      <c r="B50" s="1"/>
      <c r="E50" s="1"/>
      <c r="F50" s="1"/>
      <c r="G50" s="1"/>
      <c r="H50" s="1"/>
      <c r="J50" s="1"/>
    </row>
    <row r="51" spans="1:10" x14ac:dyDescent="0.4">
      <c r="A51" t="s">
        <v>98</v>
      </c>
      <c r="G51" t="s">
        <v>18</v>
      </c>
    </row>
    <row r="52" spans="1:10" x14ac:dyDescent="0.4">
      <c r="A52" t="s">
        <v>99</v>
      </c>
    </row>
    <row r="53" spans="1:10" x14ac:dyDescent="0.4">
      <c r="A53" t="s">
        <v>100</v>
      </c>
    </row>
    <row r="54" spans="1:10" x14ac:dyDescent="0.4">
      <c r="A54" t="s">
        <v>101</v>
      </c>
    </row>
    <row r="55" spans="1:10" x14ac:dyDescent="0.4">
      <c r="A55" t="s">
        <v>103</v>
      </c>
    </row>
  </sheetData>
  <hyperlinks>
    <hyperlink ref="O28" r:id="rId1" xr:uid="{394BA01E-496A-4B9E-AF12-01E77921BE0E}"/>
    <hyperlink ref="O29" r:id="rId2" xr:uid="{229E0547-4398-43AE-9042-0D4FDFFB3BD5}"/>
    <hyperlink ref="O22" r:id="rId3" xr:uid="{59869D84-F75A-42B0-B422-BA8AA8AB692E}"/>
    <hyperlink ref="O39" r:id="rId4" xr:uid="{ED21D2F4-CBE0-426A-A036-B9B33370EF91}"/>
    <hyperlink ref="O38" r:id="rId5" xr:uid="{916C30C5-416A-439A-9D92-626717DEB750}"/>
    <hyperlink ref="O20" r:id="rId6" xr:uid="{D1850C95-FE4D-4651-A768-4D4B82A92A51}"/>
    <hyperlink ref="P21" r:id="rId7" xr:uid="{73F810AA-AEFB-4793-A445-E887A5F2B042}"/>
    <hyperlink ref="O15" r:id="rId8" xr:uid="{77729D2A-4BC1-468B-9C65-EEFB539A2497}"/>
    <hyperlink ref="O32" r:id="rId9" xr:uid="{0F1AC341-B54F-4D97-9FD8-521B6BC77D29}"/>
    <hyperlink ref="O45" r:id="rId10" xr:uid="{B4F36DC8-3A21-4F68-940F-E7861222D837}"/>
  </hyperlinks>
  <pageMargins left="0.7" right="0.7" top="0.75" bottom="0.75" header="0.3" footer="0.3"/>
  <pageSetup scale="62" fitToWidth="0" orientation="landscape" r:id="rId11"/>
  <ignoredErrors>
    <ignoredError sqref="E31 G31:H3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09C8-D9EA-4A94-8F05-63315EF27164}">
  <dimension ref="A1:F19"/>
  <sheetViews>
    <sheetView workbookViewId="0">
      <selection activeCell="D10" sqref="D10"/>
    </sheetView>
  </sheetViews>
  <sheetFormatPr defaultRowHeight="14.6" x14ac:dyDescent="0.4"/>
  <cols>
    <col min="1" max="1" width="14.15234375" customWidth="1"/>
    <col min="2" max="2" width="18" customWidth="1"/>
    <col min="3" max="3" width="13.3046875" customWidth="1"/>
    <col min="4" max="4" width="38.921875" customWidth="1"/>
    <col min="5" max="5" width="17" customWidth="1"/>
  </cols>
  <sheetData>
    <row r="1" spans="1:6" x14ac:dyDescent="0.4">
      <c r="A1" t="s">
        <v>40</v>
      </c>
    </row>
    <row r="3" spans="1:6" x14ac:dyDescent="0.4">
      <c r="A3" t="s">
        <v>41</v>
      </c>
      <c r="B3" t="s">
        <v>47</v>
      </c>
      <c r="C3" t="s">
        <v>48</v>
      </c>
      <c r="D3" t="s">
        <v>43</v>
      </c>
      <c r="E3" t="s">
        <v>42</v>
      </c>
      <c r="F3" t="s">
        <v>49</v>
      </c>
    </row>
    <row r="4" spans="1:6" x14ac:dyDescent="0.4">
      <c r="A4" t="s">
        <v>31</v>
      </c>
    </row>
    <row r="5" spans="1:6" x14ac:dyDescent="0.4">
      <c r="A5" t="s">
        <v>32</v>
      </c>
      <c r="B5" t="s">
        <v>57</v>
      </c>
      <c r="C5" s="1">
        <v>1.95</v>
      </c>
      <c r="F5">
        <v>3</v>
      </c>
    </row>
    <row r="6" spans="1:6" x14ac:dyDescent="0.4">
      <c r="A6" t="s">
        <v>33</v>
      </c>
    </row>
    <row r="7" spans="1:6" x14ac:dyDescent="0.4">
      <c r="A7" t="s">
        <v>34</v>
      </c>
    </row>
    <row r="8" spans="1:6" x14ac:dyDescent="0.4">
      <c r="A8" t="s">
        <v>35</v>
      </c>
      <c r="B8" t="s">
        <v>55</v>
      </c>
      <c r="C8" t="s">
        <v>56</v>
      </c>
      <c r="F8">
        <v>4</v>
      </c>
    </row>
    <row r="9" spans="1:6" x14ac:dyDescent="0.4">
      <c r="A9" t="s">
        <v>36</v>
      </c>
      <c r="B9" t="s">
        <v>54</v>
      </c>
      <c r="C9" s="1">
        <v>1.75</v>
      </c>
    </row>
    <row r="10" spans="1:6" x14ac:dyDescent="0.4">
      <c r="A10" t="s">
        <v>37</v>
      </c>
      <c r="B10" t="s">
        <v>46</v>
      </c>
      <c r="C10" s="1">
        <v>1.33</v>
      </c>
      <c r="D10" t="s">
        <v>45</v>
      </c>
      <c r="E10" s="1">
        <v>0.25</v>
      </c>
      <c r="F10" t="s">
        <v>50</v>
      </c>
    </row>
    <row r="11" spans="1:6" x14ac:dyDescent="0.4">
      <c r="A11" t="s">
        <v>38</v>
      </c>
      <c r="B11" t="s">
        <v>44</v>
      </c>
      <c r="C11" s="1">
        <v>2.31</v>
      </c>
      <c r="F11">
        <v>5</v>
      </c>
    </row>
    <row r="13" spans="1:6" x14ac:dyDescent="0.4">
      <c r="A13" t="s">
        <v>39</v>
      </c>
    </row>
    <row r="15" spans="1:6" x14ac:dyDescent="0.4">
      <c r="A15" s="6" t="s">
        <v>53</v>
      </c>
    </row>
    <row r="16" spans="1:6" x14ac:dyDescent="0.4">
      <c r="A16" t="s">
        <v>52</v>
      </c>
    </row>
    <row r="17" spans="1:1" x14ac:dyDescent="0.4">
      <c r="A17" t="s">
        <v>51</v>
      </c>
    </row>
    <row r="18" spans="1:1" x14ac:dyDescent="0.4">
      <c r="A18" t="s">
        <v>59</v>
      </c>
    </row>
    <row r="19" spans="1:1" x14ac:dyDescent="0.4">
      <c r="A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Switches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McCarthy</dc:creator>
  <cp:lastModifiedBy>Adrian McCarthy</cp:lastModifiedBy>
  <cp:lastPrinted>2026-06-19T15:15:35Z</cp:lastPrinted>
  <dcterms:created xsi:type="dcterms:W3CDTF">2024-11-15T01:07:03Z</dcterms:created>
  <dcterms:modified xsi:type="dcterms:W3CDTF">2026-06-19T15:35:36Z</dcterms:modified>
</cp:coreProperties>
</file>